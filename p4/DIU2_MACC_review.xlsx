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X Case scores" sheetId="1" r:id="rId4"/>
    <sheet state="visible" name="Rating ranges" sheetId="2" r:id="rId5"/>
  </sheets>
  <definedNames/>
  <calcPr/>
</workbook>
</file>

<file path=xl/sharedStrings.xml><?xml version="1.0" encoding="utf-8"?>
<sst xmlns="http://schemas.openxmlformats.org/spreadsheetml/2006/main" count="95" uniqueCount="70">
  <si>
    <t>Rating below</t>
  </si>
  <si>
    <t>UX Case Study review</t>
  </si>
  <si>
    <t>Rating</t>
  </si>
  <si>
    <t>Rating ranges</t>
  </si>
  <si>
    <t>Bastante flojo</t>
  </si>
  <si>
    <t>less than</t>
  </si>
  <si>
    <t>Enter score</t>
  </si>
  <si>
    <t>Flojillo</t>
  </si>
  <si>
    <t>between</t>
  </si>
  <si>
    <t>and</t>
  </si>
  <si>
    <t>Justo pero no brillante</t>
  </si>
  <si>
    <t>Bueno</t>
  </si>
  <si>
    <t>Excelente</t>
  </si>
  <si>
    <t>more than</t>
  </si>
  <si>
    <t>Very poor</t>
  </si>
  <si>
    <t>DIU1_NJA</t>
  </si>
  <si>
    <t>Score</t>
  </si>
  <si>
    <t>Comments</t>
  </si>
  <si>
    <t>Poor</t>
  </si>
  <si>
    <t>Moderate</t>
  </si>
  <si>
    <t>En este Excel no se ha fijado los mismos pesos con los que habeis sido evaluados en esta asignatura. Por el contrario, se ha establecido como tres tipos de aspectos (critico, normal, poco critico)</t>
  </si>
  <si>
    <t>N/A = not applicable or can't be assessed</t>
  </si>
  <si>
    <t>Optional - Provide a short rational for the score, such as a description of the issues found; examples of good practice and the likely impact for users.</t>
  </si>
  <si>
    <t>Good</t>
  </si>
  <si>
    <t>Excellent</t>
  </si>
  <si>
    <t>Aspectos evaluados</t>
  </si>
  <si>
    <t>Weighting 
(out of 5)</t>
  </si>
  <si>
    <t>Weighting ratio</t>
  </si>
  <si>
    <t>Rating
(0 - 5)</t>
  </si>
  <si>
    <t>Out of</t>
  </si>
  <si>
    <t>N/A</t>
  </si>
  <si>
    <t>Introducción en README.md principal. El equipo se identifica y presenta una breve descripción del producto que se diseña antes de pasar a describir cada fase del diseño.</t>
  </si>
  <si>
    <t>Aunque describe los temas que van a ser tratados, le falta una buena descripción del equipo.</t>
  </si>
  <si>
    <t>P1 - Competitive Analysis. Se tiene una vista clara de las características de las distintas alternativas de servicio colaborativo.</t>
  </si>
  <si>
    <t>La descripción está bastante completa.</t>
  </si>
  <si>
    <t>P1 - Persona ficticia 1. Las personas ficticias no han sido creadas ex profeso para el servicio. Se les imagina y pueden ser utilizadas en el diseño de otro producto.</t>
  </si>
  <si>
    <t>Muy bien descrita y da la sensación de ser completamente una persona real.</t>
  </si>
  <si>
    <t>P1 - Persona ficticia 2. Las personas ficticias no han sido creadas ex profeso para el servicio. Se les imagina y pueden ser utilizadas en el diseño de otro producto.</t>
  </si>
  <si>
    <t>Está bastante bien descrita pero me da la sensación de que está enfocada a la aplicación.</t>
  </si>
  <si>
    <t>P1 - Primer Journey Map. Las historias son comprensibles y han sacado a la luz un problema de diseño que es claramente descrito en esta parte o en el informe de usabilidad.</t>
  </si>
  <si>
    <t>Se capta la idea, pero la puesta en práctica deja un poco que desear.</t>
  </si>
  <si>
    <t>P1 - Segundo Journey Map. Las historias son comprensibles y han sacado a la luz un problema de diseño que es claramente descrito en esta parte o en el informe de usabilidad.</t>
  </si>
  <si>
    <t>Me parece más trabajado que el anterior, y parece una situación completamente posible.</t>
  </si>
  <si>
    <t>P1 - Checklist de evaluación. El checklist está bien comentado. En la cabecera se identifica el site que está siendo evaluado</t>
  </si>
  <si>
    <t>No he encontrado el sitio que se está evaluando.</t>
  </si>
  <si>
    <t>P1 - Informe de usabilidad. Se ha recopilado los problemas de usabilidad del sitio a partir de los journeys y el checklist, de forma que junto con la puntuación se resume los aspectos débiles (quizá también los fuertes)</t>
  </si>
  <si>
    <t>Bien comentado junto con el informe de usabilidad.</t>
  </si>
  <si>
    <t>P2 - Feedback-capture-grid. En todos los cuadrantes aparece datos y hechos sobre aspectos concretos positivos, negativos, posibles comentarios de los usuarios y nuevas ideas de diseño.</t>
  </si>
  <si>
    <t>Excelente, más de lo necesario.</t>
  </si>
  <si>
    <t>P2 - Propuesta. Existe una descripción más amplia del producto que se va a diseñar o bien en la introducción, o bien tras la malla receptora.</t>
  </si>
  <si>
    <t>El objetivo es claro pero me faltan algunos detalles de cómo se va a llevar a cabo.</t>
  </si>
  <si>
    <t>P2 - Tasks. Las ideas de diseño se convierten en tareas asociadas a edición, consulta, búsqueda, etc. Se ha realizado un User-Task-Matrix, bien descrito y con datos</t>
  </si>
  <si>
    <r>
      <t>P2 - Tasks</t>
    </r>
    <r>
      <rPr>
        <rFont val="Roboto"/>
        <color rgb="FF000000"/>
        <sz val="10.0"/>
      </rPr>
      <t>. Las ideas de diseño se convierten en tareas asociadas a edición, consulta, búsqueda, etc. Se ha desarrollado un User-Task-Flow, donde que el flujo es completo y si no se han omitido pasos ni tareas</t>
    </r>
  </si>
  <si>
    <t>Creo que podría haber más tareas.</t>
  </si>
  <si>
    <t xml:space="preserve">P2 - Site map. Se diseña una app y se entiende qué información se va a mostrar en toda su extensión. que el contenido se ha detallado y que los términos que se emplean nos llevan a un único concepto y no son ambiguos. </t>
  </si>
  <si>
    <t>Muy completo.</t>
  </si>
  <si>
    <r>
      <t>P2 - labeling</t>
    </r>
    <r>
      <rPr>
        <rFont val="Roboto"/>
        <color rgb="FF000000"/>
        <sz val="10.0"/>
      </rPr>
      <t>. Los términos que se emplean en el site map nos llevan a un único concepto y no son ambiguos. Esta tabla puede venir con una columna de iconografía.</t>
    </r>
  </si>
  <si>
    <t>No da lugar a dudas.</t>
  </si>
  <si>
    <r>
      <t>P3 - Bocetos coherentes con el diseño</t>
    </r>
    <r>
      <rPr>
        <rFont val="Roboto"/>
        <color rgb="FF000000"/>
        <sz val="10.0"/>
      </rPr>
      <t>. Comprobar que los bocetos siguen el diseño y muestran las tareas más importantes, se navega como en el site map y emplea los mismo términos que en el labeling</t>
    </r>
  </si>
  <si>
    <t>Con gran nivel de detallle e incluye todo lo necesario.</t>
  </si>
  <si>
    <r>
      <rPr>
        <color rgb="FF000000"/>
      </rPr>
      <t>P3 - Bocetos</t>
    </r>
    <r>
      <rPr>
        <rFont val="Roboto"/>
        <color rgb="FF000000"/>
        <sz val="10.0"/>
      </rPr>
      <t>. Evaluar el nivel calidad y extensión de los propios bocetos.</t>
    </r>
  </si>
  <si>
    <t>Muy trabajados.</t>
  </si>
  <si>
    <t>P3 - Logotipo. El equipo ha querido dar entidad a la propuesta con el diseño de un logotipo</t>
  </si>
  <si>
    <t>El logotipo no es el punto fuerte, algo demasiado común y que no tiene mucho que ver.</t>
  </si>
  <si>
    <t>P3 - Propuesta justificada de elementos de diseño como patrones UI o guidelines que deben ser incorporados al paso de boceto a prototipo</t>
  </si>
  <si>
    <t>P3 - Historia del UX Case Study. El video es claro, se ajusta a tiempo y muestra de forma justificada la historia de diseño de este producto</t>
  </si>
  <si>
    <t>Cuenta todo lo necesario y se ajusta bastante bien.</t>
  </si>
  <si>
    <t>P3 - Textos y descripciones de los ficheros README.md del repositorio de este equipo</t>
  </si>
  <si>
    <t>Al readme le falta la P3, aunque está incluida el la carpeta pertinente. Por lo demás, bastante correcto.</t>
  </si>
  <si>
    <t>Overall UX case score (out of 100)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</si>
</sst>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0">
    <font>
      <sz val="10.0"/>
      <color rgb="FF000000"/>
      <name val="Arial"/>
    </font>
    <font>
      <b/>
      <sz val="10.0"/>
      <color theme="1"/>
      <name val="Arial"/>
    </font>
    <font>
      <sz val="18.0"/>
      <color rgb="FFFFFFFF"/>
      <name val="Arial"/>
    </font>
    <font>
      <sz val="10.0"/>
      <color theme="1"/>
      <name val="Arial"/>
    </font>
    <font/>
    <font>
      <color theme="1"/>
      <name val="Calibri"/>
    </font>
    <font>
      <sz val="10.0"/>
      <color rgb="FFFFFFFF"/>
      <name val="Arial"/>
    </font>
    <font>
      <sz val="10.0"/>
      <color rgb="FF333333"/>
      <name val="Arial"/>
    </font>
    <font>
      <sz val="10.0"/>
      <color rgb="FF000080"/>
      <name val="Bliss 2 regular"/>
    </font>
    <font>
      <sz val="8.0"/>
      <color theme="1"/>
      <name val="Arial"/>
    </font>
    <font>
      <b/>
      <sz val="12.0"/>
      <color rgb="FF808080"/>
      <name val="Arial"/>
    </font>
    <font>
      <b/>
      <sz val="16.0"/>
      <color rgb="FF808080"/>
      <name val="Arial"/>
    </font>
    <font>
      <b/>
      <sz val="16.0"/>
      <color rgb="FF000080"/>
      <name val="Arial"/>
    </font>
    <font>
      <sz val="10.0"/>
      <color rgb="FFC0C0C0"/>
      <name val="Arial"/>
    </font>
    <font>
      <sz val="8.0"/>
      <color rgb="FF000080"/>
      <name val="Arial"/>
    </font>
    <font>
      <sz val="10.0"/>
      <color theme="1"/>
      <name val="Bliss 2 medium"/>
    </font>
    <font>
      <b/>
      <sz val="10.0"/>
      <color rgb="FF000080"/>
      <name val="Arial"/>
    </font>
    <font>
      <sz val="10.0"/>
      <color rgb="FF808080"/>
      <name val="Arial"/>
    </font>
    <font>
      <b/>
      <sz val="10.0"/>
      <color rgb="FF000000"/>
      <name val="Arial"/>
    </font>
    <font>
      <i/>
      <sz val="8.0"/>
      <name val="Arial"/>
    </font>
    <font>
      <i/>
      <sz val="8.0"/>
      <color rgb="FF000000"/>
      <name val="Arial"/>
    </font>
    <font>
      <b/>
      <sz val="10.0"/>
      <color rgb="FF000080"/>
      <name val="Bliss 2 medium"/>
    </font>
    <font>
      <i/>
      <sz val="8.0"/>
      <color theme="1"/>
      <name val="Arial"/>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s>
  <fills count="3">
    <fill>
      <patternFill patternType="none"/>
    </fill>
    <fill>
      <patternFill patternType="lightGray"/>
    </fill>
    <fill>
      <patternFill patternType="solid">
        <fgColor rgb="FF333333"/>
        <bgColor rgb="FF333333"/>
      </patternFill>
    </fill>
  </fills>
  <borders count="17">
    <border/>
    <border>
      <left/>
      <top/>
      <bottom/>
    </border>
    <border>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3" numFmtId="1" xfId="0" applyAlignment="1" applyFont="1" applyNumberFormat="1">
      <alignment horizontal="left" shrinkToFit="0" vertical="bottom" wrapText="0"/>
    </xf>
    <xf borderId="2" fillId="0" fontId="4" numFmtId="0" xfId="0" applyBorder="1" applyFont="1"/>
    <xf borderId="0" fillId="0" fontId="5" numFmtId="0" xfId="0" applyFont="1"/>
    <xf borderId="0" fillId="0" fontId="3" numFmtId="0" xfId="0" applyAlignment="1" applyFont="1">
      <alignment shrinkToFit="0" vertical="bottom" wrapText="0"/>
    </xf>
    <xf borderId="0" fillId="0" fontId="3" numFmtId="9" xfId="0" applyAlignment="1" applyFont="1" applyNumberFormat="1">
      <alignment horizontal="left" shrinkToFit="0" vertical="bottom" wrapText="0"/>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xf borderId="0" fillId="0" fontId="3" numFmtId="1" xfId="0" applyAlignment="1" applyFont="1" applyNumberFormat="1">
      <alignment shrinkToFit="0" vertical="bottom" wrapText="0"/>
    </xf>
    <xf borderId="0" fillId="0" fontId="6" numFmtId="0" xfId="0" applyAlignment="1" applyFont="1">
      <alignment shrinkToFit="0" vertical="bottom" wrapText="0"/>
    </xf>
    <xf borderId="0" fillId="0" fontId="3" numFmtId="0" xfId="0" applyAlignment="1" applyFont="1">
      <alignment horizontal="left" shrinkToFit="0" vertical="bottom" wrapText="0"/>
    </xf>
    <xf borderId="0" fillId="0" fontId="6" numFmtId="0" xfId="0" applyAlignment="1" applyFont="1">
      <alignment horizontal="left" shrinkToFit="0" vertical="bottom" wrapText="0"/>
    </xf>
    <xf borderId="0" fillId="0" fontId="7" numFmtId="0" xfId="0" applyAlignment="1" applyFont="1">
      <alignment shrinkToFit="0" vertical="bottom" wrapText="0"/>
    </xf>
    <xf borderId="0" fillId="0" fontId="3" numFmtId="0" xfId="0" applyAlignment="1" applyFont="1">
      <alignment horizontal="center" shrinkToFit="0" vertical="bottom" wrapText="0"/>
    </xf>
    <xf borderId="0" fillId="0" fontId="8" numFmtId="0" xfId="0" applyAlignment="1" applyFont="1">
      <alignment horizontal="right" shrinkToFit="0" vertical="bottom" wrapText="0"/>
    </xf>
    <xf borderId="0" fillId="0" fontId="9"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6" numFmtId="0" xfId="0" applyAlignment="1" applyFont="1">
      <alignment horizontal="left" shrinkToFit="0" vertical="top" wrapText="1"/>
    </xf>
    <xf borderId="0" fillId="0" fontId="6" numFmtId="0" xfId="0" applyAlignment="1" applyFont="1">
      <alignment horizontal="left" shrinkToFit="0" vertical="top" wrapText="0"/>
    </xf>
    <xf borderId="0" fillId="0" fontId="10" numFmtId="0" xfId="0" applyAlignment="1" applyFont="1">
      <alignment shrinkToFit="0" vertical="top" wrapText="0"/>
    </xf>
    <xf borderId="0" fillId="0" fontId="8" numFmtId="0" xfId="0" applyAlignment="1" applyFont="1">
      <alignment horizontal="right" shrinkToFit="0" vertical="top" wrapText="0"/>
    </xf>
    <xf borderId="0" fillId="0" fontId="11" numFmtId="0" xfId="0" applyAlignment="1" applyFont="1">
      <alignment horizontal="center" shrinkToFit="0" vertical="top" wrapText="0"/>
    </xf>
    <xf borderId="0" fillId="0" fontId="3" numFmtId="0" xfId="0" applyAlignment="1" applyFont="1">
      <alignment shrinkToFit="0" vertical="top" wrapText="0"/>
    </xf>
    <xf borderId="0" fillId="0" fontId="11" numFmtId="0" xfId="0" applyAlignment="1" applyFont="1">
      <alignment horizontal="left" shrinkToFit="0" vertical="top" wrapText="0"/>
    </xf>
    <xf borderId="0" fillId="0" fontId="12" numFmtId="0" xfId="0" applyAlignment="1" applyFont="1">
      <alignment shrinkToFit="0" vertical="top" wrapText="0"/>
    </xf>
    <xf borderId="0" fillId="0" fontId="12" numFmtId="0" xfId="0" applyAlignment="1" applyFont="1">
      <alignment horizontal="center" shrinkToFit="0" vertical="top" wrapText="0"/>
    </xf>
    <xf borderId="0" fillId="0" fontId="12" numFmtId="0" xfId="0" applyAlignment="1" applyFont="1">
      <alignment horizontal="left" shrinkToFit="0" vertical="top" wrapText="0"/>
    </xf>
    <xf borderId="0" fillId="0" fontId="9" numFmtId="0" xfId="0" applyAlignment="1" applyFont="1">
      <alignment shrinkToFit="0" vertical="center" wrapText="1"/>
    </xf>
    <xf borderId="0" fillId="0" fontId="3" numFmtId="0" xfId="0" applyAlignment="1" applyFont="1">
      <alignment shrinkToFit="0" vertical="center" wrapText="0"/>
    </xf>
    <xf borderId="0" fillId="0" fontId="9" numFmtId="0" xfId="0" applyAlignment="1" applyFont="1">
      <alignment horizontal="center" shrinkToFit="0" vertical="center" wrapText="1"/>
    </xf>
    <xf borderId="0" fillId="0" fontId="13" numFmtId="0" xfId="0" applyAlignment="1" applyFont="1">
      <alignment horizontal="right" shrinkToFit="0" vertical="top" wrapText="1"/>
    </xf>
    <xf borderId="0" fillId="0" fontId="13" numFmtId="0" xfId="0" applyAlignment="1" applyFont="1">
      <alignment horizontal="right" shrinkToFit="0" vertical="top" wrapText="0"/>
    </xf>
    <xf borderId="0" fillId="0" fontId="14" numFmtId="0" xfId="0" applyAlignment="1" applyFont="1">
      <alignment shrinkToFit="0" vertical="center" wrapText="1"/>
    </xf>
    <xf borderId="0" fillId="0" fontId="14" numFmtId="0" xfId="0" applyAlignment="1" applyFont="1">
      <alignment horizontal="center" shrinkToFit="0" vertical="center" wrapText="1"/>
    </xf>
    <xf borderId="0" fillId="0" fontId="10" numFmtId="0" xfId="0" applyAlignment="1" applyFont="1">
      <alignment shrinkToFit="0" vertical="bottom" wrapText="0"/>
    </xf>
    <xf borderId="0" fillId="0" fontId="15" numFmtId="0" xfId="0" applyAlignment="1" applyFont="1">
      <alignment horizontal="center" shrinkToFit="0" vertical="bottom" wrapText="0"/>
    </xf>
    <xf borderId="0" fillId="0" fontId="16" numFmtId="0" xfId="0" applyAlignment="1" applyFont="1">
      <alignment shrinkToFit="0" vertical="bottom" wrapText="0"/>
    </xf>
    <xf borderId="0" fillId="0" fontId="3" numFmtId="0" xfId="0" applyAlignment="1" applyFont="1">
      <alignment horizontal="left" shrinkToFit="0" vertical="top" wrapText="0"/>
    </xf>
    <xf borderId="0" fillId="0" fontId="17" numFmtId="0" xfId="0" applyAlignment="1" applyFont="1">
      <alignment horizontal="left" shrinkToFit="0" vertical="top" wrapText="0"/>
    </xf>
    <xf borderId="0" fillId="0" fontId="3" numFmtId="0" xfId="0" applyAlignment="1" applyFont="1">
      <alignment shrinkToFit="0" vertical="top" wrapText="1"/>
    </xf>
    <xf borderId="3" fillId="0" fontId="18" numFmtId="0" xfId="0" applyAlignment="1" applyBorder="1" applyFont="1">
      <alignment horizontal="center" readingOrder="0" shrinkToFit="0" vertical="center" wrapText="0"/>
    </xf>
    <xf borderId="3" fillId="0" fontId="19" numFmtId="0" xfId="0" applyAlignment="1" applyBorder="1" applyFont="1">
      <alignment horizontal="left" readingOrder="0" shrinkToFit="0" vertical="top" wrapText="1"/>
    </xf>
    <xf borderId="0" fillId="0" fontId="13" numFmtId="0" xfId="0" applyAlignment="1" applyFont="1">
      <alignment horizontal="right" shrinkToFit="0" vertical="bottom" wrapText="0"/>
    </xf>
    <xf borderId="0" fillId="0" fontId="13" numFmtId="9" xfId="0" applyAlignment="1" applyFont="1" applyNumberFormat="1">
      <alignment horizontal="right" shrinkToFit="0" vertical="bottom" wrapText="0"/>
    </xf>
    <xf borderId="0" fillId="0" fontId="13" numFmtId="0" xfId="0" applyAlignment="1" applyFont="1">
      <alignment shrinkToFit="0" vertical="bottom" wrapText="0"/>
    </xf>
    <xf borderId="0" fillId="0" fontId="15" numFmtId="0" xfId="0" applyAlignment="1" applyFont="1">
      <alignment horizontal="center" shrinkToFit="0" vertical="center" wrapText="0"/>
    </xf>
    <xf borderId="0" fillId="0" fontId="7" numFmtId="0" xfId="0" applyAlignment="1" applyFont="1">
      <alignment horizontal="left" shrinkToFit="0" vertical="top" wrapText="1"/>
    </xf>
    <xf borderId="0" fillId="0" fontId="7" numFmtId="0" xfId="0" applyAlignment="1" applyFont="1">
      <alignment shrinkToFit="0" vertical="top" wrapText="1"/>
    </xf>
    <xf borderId="3" fillId="0" fontId="1" numFmtId="0" xfId="0" applyAlignment="1" applyBorder="1" applyFont="1">
      <alignment horizontal="center" shrinkToFit="0" vertical="center" wrapText="0"/>
    </xf>
    <xf borderId="0" fillId="0" fontId="13" numFmtId="0" xfId="0" applyAlignment="1" applyFont="1">
      <alignment horizontal="right" shrinkToFit="0" vertical="bottom" wrapText="1"/>
    </xf>
    <xf borderId="0" fillId="0" fontId="13" numFmtId="9" xfId="0" applyAlignment="1" applyFont="1" applyNumberFormat="1">
      <alignment horizontal="right" shrinkToFit="0" vertical="bottom" wrapText="1"/>
    </xf>
    <xf borderId="0" fillId="0" fontId="13" numFmtId="0" xfId="0" applyAlignment="1" applyFont="1">
      <alignment shrinkToFit="0" vertical="bottom" wrapText="1"/>
    </xf>
    <xf borderId="0" fillId="0" fontId="16" numFmtId="0" xfId="0" applyAlignment="1" applyFont="1">
      <alignment shrinkToFit="0" vertical="center" wrapText="1"/>
    </xf>
    <xf borderId="0" fillId="0" fontId="13" numFmtId="0" xfId="0" applyAlignment="1" applyFont="1">
      <alignment shrinkToFit="0" vertical="top" wrapText="1"/>
    </xf>
    <xf borderId="0" fillId="0" fontId="0" numFmtId="0" xfId="0" applyAlignment="1" applyFont="1">
      <alignment readingOrder="0" shrinkToFit="0" vertical="top" wrapText="1"/>
    </xf>
    <xf borderId="3" fillId="0" fontId="20" numFmtId="0" xfId="0" applyAlignment="1" applyBorder="1" applyFont="1">
      <alignment horizontal="left" readingOrder="0" shrinkToFit="0" vertical="top" wrapText="1"/>
    </xf>
    <xf borderId="0" fillId="0" fontId="21" numFmtId="0" xfId="0" applyAlignment="1" applyFont="1">
      <alignment horizontal="center" shrinkToFit="0" vertical="center" wrapText="0"/>
    </xf>
    <xf borderId="0" fillId="0" fontId="13" numFmtId="0" xfId="0" applyAlignment="1" applyFont="1">
      <alignment horizontal="left" shrinkToFit="0" vertical="top" wrapText="1"/>
    </xf>
    <xf borderId="3" fillId="0" fontId="22" numFmtId="0" xfId="0" applyAlignment="1" applyBorder="1" applyFont="1">
      <alignment horizontal="left" shrinkToFit="0" vertical="top" wrapText="1"/>
    </xf>
    <xf borderId="0" fillId="0" fontId="3" numFmtId="0" xfId="0" applyAlignment="1" applyFont="1">
      <alignment readingOrder="0" shrinkToFit="0" vertical="top" wrapText="1"/>
    </xf>
    <xf borderId="3" fillId="0" fontId="19" numFmtId="0" xfId="0" applyAlignment="1" applyBorder="1" applyFont="1">
      <alignment horizontal="left" shrinkToFit="0" vertical="top" wrapText="1"/>
    </xf>
    <xf borderId="3" fillId="0" fontId="19" numFmtId="0" xfId="0" applyAlignment="1" applyBorder="1" applyFont="1">
      <alignment horizontal="left" readingOrder="0" shrinkToFit="0" vertical="top" wrapText="1"/>
    </xf>
    <xf borderId="0" fillId="0" fontId="3" numFmtId="0" xfId="0" applyAlignment="1" applyFont="1">
      <alignment shrinkToFit="0" vertical="bottom" wrapText="1"/>
    </xf>
    <xf borderId="0" fillId="0" fontId="23" numFmtId="0" xfId="0" applyAlignment="1" applyFont="1">
      <alignment horizontal="right" shrinkToFit="0" vertical="bottom" wrapText="0"/>
    </xf>
    <xf borderId="0" fillId="0" fontId="23" numFmtId="0" xfId="0" applyAlignment="1" applyFont="1">
      <alignment shrinkToFit="0" vertical="bottom" wrapText="0"/>
    </xf>
    <xf borderId="4" fillId="2" fontId="24" numFmtId="0" xfId="0" applyAlignment="1" applyBorder="1" applyFont="1">
      <alignment horizontal="left" shrinkToFit="0" vertical="center" wrapText="0"/>
    </xf>
    <xf borderId="5" fillId="2" fontId="24" numFmtId="0" xfId="0" applyAlignment="1" applyBorder="1" applyFont="1">
      <alignment shrinkToFit="0" vertical="bottom" wrapText="0"/>
    </xf>
    <xf borderId="6" fillId="2" fontId="24" numFmtId="0" xfId="0" applyAlignment="1" applyBorder="1" applyFont="1">
      <alignment shrinkToFit="0" vertical="bottom" wrapText="0"/>
    </xf>
    <xf borderId="7" fillId="2" fontId="25" numFmtId="1" xfId="0" applyAlignment="1" applyBorder="1" applyFont="1" applyNumberFormat="1">
      <alignment horizontal="center" shrinkToFit="0" vertical="center" wrapText="0"/>
    </xf>
    <xf borderId="8" fillId="2" fontId="6" numFmtId="0" xfId="0" applyAlignment="1" applyBorder="1" applyFont="1">
      <alignment shrinkToFit="0" vertical="bottom" wrapText="0"/>
    </xf>
    <xf borderId="4" fillId="2" fontId="24" numFmtId="0" xfId="0" applyAlignment="1" applyBorder="1" applyFont="1">
      <alignment horizontal="center" shrinkToFit="0" vertical="center" wrapText="0"/>
    </xf>
    <xf borderId="4" fillId="2" fontId="26" numFmtId="0" xfId="0" applyAlignment="1" applyBorder="1" applyFont="1">
      <alignment horizontal="left" shrinkToFit="0" vertical="center" wrapText="0"/>
    </xf>
    <xf borderId="0" fillId="0" fontId="6" numFmtId="1" xfId="0" applyAlignment="1" applyFont="1" applyNumberFormat="1">
      <alignment shrinkToFit="0" vertical="bottom" wrapText="0"/>
    </xf>
    <xf borderId="9" fillId="0" fontId="27" numFmtId="0" xfId="0" applyAlignment="1" applyBorder="1" applyFont="1">
      <alignment shrinkToFit="0" vertical="bottom" wrapText="1"/>
    </xf>
    <xf borderId="10" fillId="0" fontId="4" numFmtId="0" xfId="0" applyBorder="1" applyFont="1"/>
    <xf borderId="11" fillId="0" fontId="4" numFmtId="0" xfId="0" applyBorder="1" applyFont="1"/>
    <xf borderId="12" fillId="0" fontId="27" numFmtId="0" xfId="0" applyAlignment="1" applyBorder="1" applyFont="1">
      <alignment shrinkToFit="0" vertical="bottom" wrapText="1"/>
    </xf>
    <xf borderId="13" fillId="0" fontId="4" numFmtId="0" xfId="0" applyBorder="1" applyFont="1"/>
    <xf borderId="12" fillId="0" fontId="27" numFmtId="0" xfId="0" applyAlignment="1" applyBorder="1" applyFont="1">
      <alignment horizontal="left" shrinkToFit="0" vertical="bottom" wrapText="1"/>
    </xf>
    <xf borderId="14" fillId="0" fontId="27" numFmtId="0" xfId="0" applyAlignment="1" applyBorder="1" applyFont="1">
      <alignment shrinkToFit="0" vertical="bottom" wrapText="1"/>
    </xf>
    <xf borderId="15" fillId="0" fontId="4" numFmtId="0" xfId="0" applyBorder="1" applyFont="1"/>
    <xf borderId="16" fillId="0" fontId="4" numFmtId="0" xfId="0" applyBorder="1" applyFont="1"/>
    <xf borderId="0" fillId="0" fontId="15" numFmtId="164" xfId="0" applyAlignment="1" applyFont="1" applyNumberFormat="1">
      <alignment horizontal="center" shrinkToFit="0" vertical="bottom" wrapText="0"/>
    </xf>
    <xf borderId="12" fillId="0" fontId="28" numFmtId="0" xfId="0" applyAlignment="1" applyBorder="1" applyFont="1">
      <alignment horizontal="left" shrinkToFit="0" vertical="bottom" wrapText="0"/>
    </xf>
    <xf borderId="0" fillId="0" fontId="29" numFmtId="0" xfId="0" applyAlignment="1" applyFont="1">
      <alignment horizontal="left" shrinkToFit="0" vertical="bottom" wrapText="0"/>
    </xf>
    <xf borderId="13" fillId="0" fontId="29" numFmtId="0" xfId="0" applyAlignment="1" applyBorder="1" applyFont="1">
      <alignment horizontal="left"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295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60.29"/>
    <col customWidth="1" min="3" max="3" width="4.43"/>
    <col customWidth="1" min="4" max="4" width="18.29"/>
    <col customWidth="1" hidden="1" min="5" max="5" width="11.43"/>
    <col customWidth="1" hidden="1" min="6" max="6" width="6.71"/>
    <col customWidth="1" hidden="1" min="7" max="7" width="4.43"/>
    <col customWidth="1" min="8" max="8" width="4.14"/>
    <col customWidth="1" min="9" max="9" width="51.29"/>
    <col customWidth="1" min="10" max="10" width="2.14"/>
    <col customWidth="1" min="11" max="12" width="12.14"/>
    <col customWidth="1" min="13" max="13" width="9.14"/>
    <col customWidth="1" min="14" max="22" width="8.86"/>
  </cols>
  <sheetData>
    <row r="1" ht="21.0" customHeight="1">
      <c r="A1" s="2" t="s">
        <v>1</v>
      </c>
      <c r="B1" s="4"/>
      <c r="C1" s="4"/>
      <c r="D1" s="4"/>
      <c r="E1" s="4"/>
      <c r="F1" s="4"/>
      <c r="G1" s="4"/>
      <c r="H1" s="4"/>
      <c r="I1" s="4"/>
      <c r="J1" s="6"/>
      <c r="K1" s="8"/>
      <c r="L1" s="9"/>
      <c r="M1" s="9"/>
      <c r="N1" s="9"/>
      <c r="O1" s="9"/>
      <c r="P1" s="6"/>
      <c r="Q1" s="11" t="s">
        <v>6</v>
      </c>
      <c r="R1" s="13">
        <v>0.0</v>
      </c>
      <c r="S1" s="6"/>
      <c r="T1" s="6"/>
      <c r="U1" s="6"/>
      <c r="V1" s="14"/>
    </row>
    <row r="2" ht="9.0" customHeight="1">
      <c r="B2" s="6"/>
      <c r="C2" s="16"/>
      <c r="D2" s="16"/>
      <c r="E2" s="6"/>
      <c r="F2" s="6"/>
      <c r="G2" s="6"/>
      <c r="H2" s="6"/>
      <c r="I2" s="6"/>
      <c r="J2" s="12"/>
      <c r="K2" s="17"/>
      <c r="L2" s="18"/>
      <c r="M2" s="6"/>
      <c r="N2" s="6"/>
      <c r="O2" s="6"/>
      <c r="P2" s="19"/>
      <c r="Q2" s="20" t="s">
        <v>14</v>
      </c>
      <c r="R2" s="21">
        <v>1.0</v>
      </c>
      <c r="S2" s="6"/>
      <c r="T2" s="6"/>
      <c r="U2" s="6"/>
      <c r="V2" s="14"/>
    </row>
    <row r="3" ht="24.0" customHeight="1">
      <c r="A3" s="22" t="s">
        <v>15</v>
      </c>
      <c r="C3" s="23"/>
      <c r="D3" s="24" t="s">
        <v>16</v>
      </c>
      <c r="E3" s="25"/>
      <c r="F3" s="25"/>
      <c r="G3" s="25"/>
      <c r="H3" s="25"/>
      <c r="I3" s="26" t="s">
        <v>17</v>
      </c>
      <c r="J3" s="6"/>
      <c r="K3" s="18"/>
      <c r="L3" s="18"/>
      <c r="M3" s="6"/>
      <c r="P3" s="19"/>
      <c r="Q3" s="20" t="s">
        <v>18</v>
      </c>
      <c r="R3" s="21">
        <v>2.0</v>
      </c>
      <c r="S3" s="6"/>
      <c r="T3" s="6"/>
      <c r="U3" s="6"/>
      <c r="V3" s="14"/>
    </row>
    <row r="4" ht="9.0" customHeight="1">
      <c r="A4" s="27"/>
      <c r="B4" s="25"/>
      <c r="C4" s="23"/>
      <c r="D4" s="28"/>
      <c r="E4" s="25"/>
      <c r="F4" s="25"/>
      <c r="G4" s="25"/>
      <c r="H4" s="25"/>
      <c r="I4" s="29"/>
      <c r="J4" s="6"/>
      <c r="K4" s="18"/>
      <c r="L4" s="18"/>
      <c r="M4" s="6"/>
      <c r="P4" s="19"/>
      <c r="Q4" s="20" t="s">
        <v>19</v>
      </c>
      <c r="R4" s="21">
        <v>3.0</v>
      </c>
      <c r="S4" s="6"/>
      <c r="T4" s="6"/>
      <c r="U4" s="6"/>
      <c r="V4" s="14"/>
    </row>
    <row r="5" ht="36.75" customHeight="1">
      <c r="A5" s="5"/>
      <c r="B5" s="30" t="s">
        <v>20</v>
      </c>
      <c r="C5" s="31"/>
      <c r="D5" s="32" t="s">
        <v>21</v>
      </c>
      <c r="E5" s="31"/>
      <c r="F5" s="31"/>
      <c r="G5" s="31"/>
      <c r="H5" s="31"/>
      <c r="I5" s="30" t="s">
        <v>22</v>
      </c>
      <c r="J5" s="6"/>
      <c r="K5" s="33"/>
      <c r="L5" s="33"/>
      <c r="M5" s="33"/>
      <c r="N5" s="34"/>
      <c r="O5" s="34"/>
      <c r="P5" s="19"/>
      <c r="Q5" s="20" t="s">
        <v>23</v>
      </c>
      <c r="R5" s="21">
        <v>4.0</v>
      </c>
      <c r="S5" s="6"/>
      <c r="T5" s="6"/>
      <c r="U5" s="6"/>
      <c r="V5" s="14"/>
    </row>
    <row r="6" ht="9.0" customHeight="1">
      <c r="B6" s="35"/>
      <c r="C6" s="31"/>
      <c r="D6" s="36"/>
      <c r="E6" s="31"/>
      <c r="F6" s="31"/>
      <c r="G6" s="31"/>
      <c r="H6" s="31"/>
      <c r="I6" s="35"/>
      <c r="J6" s="6"/>
      <c r="K6" s="33"/>
      <c r="L6" s="33"/>
      <c r="M6" s="33"/>
      <c r="N6" s="34"/>
      <c r="O6" s="34"/>
      <c r="P6" s="19"/>
      <c r="Q6" s="20" t="s">
        <v>24</v>
      </c>
      <c r="R6" s="21">
        <v>5.0</v>
      </c>
      <c r="S6" s="6"/>
      <c r="T6" s="6"/>
      <c r="U6" s="6"/>
      <c r="V6" s="14"/>
    </row>
    <row r="7" ht="18.0" customHeight="1">
      <c r="A7" s="37" t="s">
        <v>25</v>
      </c>
      <c r="C7" s="6"/>
      <c r="D7" s="38"/>
      <c r="E7" s="6"/>
      <c r="F7" s="6"/>
      <c r="G7" s="6"/>
      <c r="H7" s="6"/>
      <c r="I7" s="6"/>
      <c r="J7" s="6"/>
      <c r="K7" s="33" t="s">
        <v>26</v>
      </c>
      <c r="L7" s="33" t="s">
        <v>27</v>
      </c>
      <c r="M7" s="33" t="s">
        <v>28</v>
      </c>
      <c r="N7" s="34" t="s">
        <v>16</v>
      </c>
      <c r="O7" s="34" t="s">
        <v>29</v>
      </c>
      <c r="P7" s="19"/>
      <c r="Q7" s="20" t="s">
        <v>30</v>
      </c>
      <c r="R7" s="21">
        <v>0.0</v>
      </c>
      <c r="S7" s="6"/>
      <c r="T7" s="6"/>
      <c r="U7" s="6"/>
      <c r="V7" s="14"/>
    </row>
    <row r="8" ht="14.25" customHeight="1">
      <c r="B8" s="39"/>
      <c r="C8" s="6"/>
      <c r="D8" s="38"/>
      <c r="E8" s="6"/>
      <c r="F8" s="6"/>
      <c r="G8" s="6"/>
      <c r="H8" s="6"/>
      <c r="I8" s="6"/>
      <c r="J8" s="6"/>
      <c r="P8" s="19"/>
      <c r="Q8" s="6"/>
      <c r="R8" s="40"/>
      <c r="S8" s="6"/>
      <c r="T8" s="6"/>
      <c r="U8" s="6"/>
      <c r="V8" s="14"/>
    </row>
    <row r="9" ht="39.75" customHeight="1">
      <c r="A9" s="41">
        <v>1.0</v>
      </c>
      <c r="B9" s="42" t="s">
        <v>31</v>
      </c>
      <c r="C9" s="6"/>
      <c r="D9" s="43" t="s">
        <v>19</v>
      </c>
      <c r="E9" s="6"/>
      <c r="F9" s="6" t="str">
        <f>#REF!*#REF!</f>
        <v>#REF!</v>
      </c>
      <c r="G9" s="6" t="str">
        <f>IF(#REF!&gt;=0,10*#REF!,0)</f>
        <v>#REF!</v>
      </c>
      <c r="H9" s="6"/>
      <c r="I9" s="44" t="s">
        <v>32</v>
      </c>
      <c r="J9" s="6"/>
      <c r="K9" s="45">
        <v>3.0</v>
      </c>
      <c r="L9" s="46">
        <f>K9/K49</f>
        <v>0.6</v>
      </c>
      <c r="M9" s="47">
        <f>VLOOKUP(D9,Q1:R9,2,FALSE)</f>
        <v>3</v>
      </c>
      <c r="N9" s="47">
        <f>M9*L9</f>
        <v>1.8</v>
      </c>
      <c r="O9" s="47">
        <f>IF(M9=0,0,L9*MAX(R2:R8))</f>
        <v>3</v>
      </c>
      <c r="P9" s="19"/>
      <c r="Q9" s="6"/>
      <c r="R9" s="40"/>
      <c r="S9" s="6"/>
      <c r="T9" s="6"/>
      <c r="U9" s="6"/>
      <c r="V9" s="14"/>
    </row>
    <row r="10" ht="12.0" customHeight="1">
      <c r="A10" s="41"/>
      <c r="B10" s="42"/>
      <c r="C10" s="6"/>
      <c r="D10" s="48"/>
      <c r="E10" s="6"/>
      <c r="F10" s="6"/>
      <c r="G10" s="6"/>
      <c r="H10" s="6"/>
      <c r="I10" s="6"/>
      <c r="J10" s="6"/>
      <c r="K10" s="45"/>
      <c r="L10" s="46"/>
      <c r="M10" s="47"/>
      <c r="N10" s="47"/>
      <c r="O10" s="47"/>
      <c r="P10" s="49"/>
      <c r="Q10" s="6"/>
      <c r="R10" s="6"/>
      <c r="S10" s="6"/>
      <c r="T10" s="6"/>
      <c r="U10" s="6"/>
      <c r="V10" s="14"/>
    </row>
    <row r="11" ht="39.75" customHeight="1">
      <c r="A11" s="41">
        <f>A9+1</f>
        <v>2</v>
      </c>
      <c r="B11" s="42" t="s">
        <v>33</v>
      </c>
      <c r="C11" s="6"/>
      <c r="D11" s="43" t="s">
        <v>23</v>
      </c>
      <c r="E11" s="6"/>
      <c r="F11" s="6" t="str">
        <f>#REF!*#REF!</f>
        <v>#REF!</v>
      </c>
      <c r="G11" s="6" t="str">
        <f>IF(#REF!&gt;=0,10*#REF!,0)</f>
        <v>#REF!</v>
      </c>
      <c r="H11" s="6"/>
      <c r="I11" s="44" t="s">
        <v>34</v>
      </c>
      <c r="J11" s="6"/>
      <c r="K11" s="45">
        <v>5.0</v>
      </c>
      <c r="L11" s="46">
        <f>K11/K49</f>
        <v>1</v>
      </c>
      <c r="M11" s="47">
        <f>VLOOKUP(D11,Q1:R9,2,FALSE)</f>
        <v>4</v>
      </c>
      <c r="N11" s="47">
        <f>M11*L11</f>
        <v>4</v>
      </c>
      <c r="O11" s="47">
        <f>IF(M11=0,0,L11*MAX(R2:R8))</f>
        <v>5</v>
      </c>
      <c r="P11" s="49"/>
      <c r="S11" s="14"/>
      <c r="T11" s="14"/>
      <c r="U11" s="14"/>
      <c r="V11" s="14"/>
    </row>
    <row r="12" ht="12.0" customHeight="1">
      <c r="A12" s="41"/>
      <c r="B12" s="42"/>
      <c r="C12" s="6"/>
      <c r="D12" s="48"/>
      <c r="E12" s="6"/>
      <c r="F12" s="6"/>
      <c r="G12" s="6"/>
      <c r="H12" s="6"/>
      <c r="I12" s="6"/>
      <c r="J12" s="6"/>
      <c r="K12" s="45"/>
      <c r="L12" s="46"/>
      <c r="M12" s="47"/>
      <c r="N12" s="47"/>
      <c r="O12" s="47"/>
      <c r="P12" s="14"/>
      <c r="Q12" s="14"/>
      <c r="R12" s="14"/>
      <c r="S12" s="50"/>
      <c r="T12" s="14"/>
      <c r="U12" s="14"/>
      <c r="V12" s="14"/>
    </row>
    <row r="13" ht="39.75" customHeight="1">
      <c r="A13" s="41">
        <f>A11+1</f>
        <v>3</v>
      </c>
      <c r="B13" s="42" t="s">
        <v>35</v>
      </c>
      <c r="C13" s="6"/>
      <c r="D13" s="43" t="s">
        <v>24</v>
      </c>
      <c r="E13" s="6"/>
      <c r="F13" s="6" t="str">
        <f>#REF!*#REF!</f>
        <v>#REF!</v>
      </c>
      <c r="G13" s="6" t="str">
        <f>IF(#REF!&gt;=0,10*#REF!,0)</f>
        <v>#REF!</v>
      </c>
      <c r="H13" s="6"/>
      <c r="I13" s="44" t="s">
        <v>36</v>
      </c>
      <c r="J13" s="6"/>
      <c r="K13" s="45">
        <v>4.0</v>
      </c>
      <c r="L13" s="46">
        <f>K13/K49</f>
        <v>0.8</v>
      </c>
      <c r="M13" s="47">
        <f>VLOOKUP(D13,Q1:R9,2,FALSE)</f>
        <v>5</v>
      </c>
      <c r="N13" s="47">
        <f>M13*L13</f>
        <v>4</v>
      </c>
      <c r="O13" s="47">
        <f>IF(M13=0,0,L13*MAX(R2:R8))</f>
        <v>4</v>
      </c>
      <c r="P13" s="14"/>
      <c r="Q13" s="14"/>
      <c r="R13" s="14"/>
      <c r="S13" s="50"/>
      <c r="T13" s="14"/>
      <c r="U13" s="14"/>
      <c r="V13" s="14"/>
    </row>
    <row r="14" ht="12.0" customHeight="1">
      <c r="A14" s="41"/>
      <c r="B14" s="42"/>
      <c r="C14" s="6"/>
      <c r="D14" s="48"/>
      <c r="E14" s="6"/>
      <c r="F14" s="6"/>
      <c r="G14" s="6"/>
      <c r="H14" s="6"/>
      <c r="I14" s="6"/>
      <c r="J14" s="6"/>
      <c r="K14" s="45"/>
      <c r="L14" s="46"/>
      <c r="M14" s="47"/>
      <c r="N14" s="47"/>
      <c r="O14" s="47"/>
      <c r="S14" s="42"/>
    </row>
    <row r="15" ht="39.75" customHeight="1">
      <c r="A15" s="41">
        <f>A13+1</f>
        <v>4</v>
      </c>
      <c r="B15" s="42" t="s">
        <v>37</v>
      </c>
      <c r="C15" s="6"/>
      <c r="D15" s="51" t="s">
        <v>23</v>
      </c>
      <c r="E15" s="6"/>
      <c r="F15" s="6" t="str">
        <f>#REF!*#REF!</f>
        <v>#REF!</v>
      </c>
      <c r="G15" s="6" t="str">
        <f>IF(#REF!&gt;=0,10*#REF!,0)</f>
        <v>#REF!</v>
      </c>
      <c r="H15" s="6"/>
      <c r="I15" s="44" t="s">
        <v>38</v>
      </c>
      <c r="J15" s="6"/>
      <c r="K15" s="52">
        <v>4.0</v>
      </c>
      <c r="L15" s="53">
        <f>K15/K49</f>
        <v>0.8</v>
      </c>
      <c r="M15" s="47">
        <f>VLOOKUP(D15,Q1:R9,2,FALSE)</f>
        <v>4</v>
      </c>
      <c r="N15" s="47">
        <f>M15*L15</f>
        <v>3.2</v>
      </c>
      <c r="O15" s="54">
        <f>IF(M15=0,0,L15*MAX(R2:R8))</f>
        <v>4</v>
      </c>
      <c r="P15" s="19"/>
      <c r="S15" s="19"/>
      <c r="T15" s="6"/>
    </row>
    <row r="16" ht="12.0" customHeight="1">
      <c r="A16" s="41"/>
      <c r="B16" s="42"/>
      <c r="C16" s="6"/>
      <c r="D16" s="48"/>
      <c r="E16" s="6"/>
      <c r="F16" s="6"/>
      <c r="G16" s="6"/>
      <c r="H16" s="6"/>
      <c r="I16" s="6"/>
      <c r="J16" s="6"/>
      <c r="K16" s="45"/>
      <c r="L16" s="46"/>
      <c r="M16" s="47"/>
      <c r="N16" s="47"/>
      <c r="O16" s="47"/>
      <c r="S16" s="42"/>
      <c r="T16" s="6"/>
    </row>
    <row r="17" ht="39.75" customHeight="1">
      <c r="A17" s="41">
        <f>A15+1</f>
        <v>5</v>
      </c>
      <c r="B17" s="42" t="s">
        <v>39</v>
      </c>
      <c r="C17" s="6"/>
      <c r="D17" s="43" t="s">
        <v>19</v>
      </c>
      <c r="E17" s="6"/>
      <c r="F17" s="6" t="str">
        <f>#REF!*#REF!</f>
        <v>#REF!</v>
      </c>
      <c r="G17" s="6" t="str">
        <f>IF(#REF!&gt;=0,10*#REF!,0)</f>
        <v>#REF!</v>
      </c>
      <c r="H17" s="6"/>
      <c r="I17" s="44" t="s">
        <v>40</v>
      </c>
      <c r="J17" s="6"/>
      <c r="K17" s="45">
        <v>4.0</v>
      </c>
      <c r="L17" s="46">
        <f>K17/K49</f>
        <v>0.8</v>
      </c>
      <c r="M17" s="47">
        <f>VLOOKUP(D17,Q1:R9,2,FALSE)</f>
        <v>3</v>
      </c>
      <c r="N17" s="47">
        <f>M17*L17</f>
        <v>2.4</v>
      </c>
      <c r="O17" s="47">
        <f>IF(M17=0,0,L17*MAX(R2:R8))</f>
        <v>4</v>
      </c>
      <c r="S17" s="42"/>
      <c r="T17" s="6"/>
    </row>
    <row r="18" ht="13.5" customHeight="1">
      <c r="B18" s="55"/>
      <c r="C18" s="39"/>
      <c r="D18" s="48"/>
      <c r="E18" s="6"/>
      <c r="F18" s="6"/>
      <c r="G18" s="6"/>
      <c r="H18" s="6"/>
      <c r="I18" s="6"/>
      <c r="J18" s="6"/>
      <c r="K18" s="45"/>
      <c r="L18" s="46"/>
      <c r="M18" s="47"/>
      <c r="N18" s="47"/>
      <c r="O18" s="47"/>
    </row>
    <row r="19" ht="39.75" customHeight="1">
      <c r="A19" s="41">
        <f>A17+1</f>
        <v>6</v>
      </c>
      <c r="B19" s="42" t="s">
        <v>41</v>
      </c>
      <c r="C19" s="6"/>
      <c r="D19" s="51" t="s">
        <v>24</v>
      </c>
      <c r="E19" s="6"/>
      <c r="F19" s="6" t="str">
        <f>#REF!*#REF!</f>
        <v>#REF!</v>
      </c>
      <c r="G19" s="6" t="str">
        <f>IF(#REF!&gt;=0,10*#REF!,0)</f>
        <v>#REF!</v>
      </c>
      <c r="H19" s="6"/>
      <c r="I19" s="44" t="s">
        <v>42</v>
      </c>
      <c r="J19" s="6"/>
      <c r="K19" s="45">
        <v>4.0</v>
      </c>
      <c r="L19" s="46">
        <f>K19/K49</f>
        <v>0.8</v>
      </c>
      <c r="M19" s="47">
        <f>VLOOKUP(D19,Q1:R9,2,FALSE)</f>
        <v>5</v>
      </c>
      <c r="N19" s="47">
        <f>M19*L19</f>
        <v>4</v>
      </c>
      <c r="O19" s="47">
        <f>IF(M19=0,0,L19*MAX(R2:R8))</f>
        <v>4</v>
      </c>
    </row>
    <row r="20" ht="12.0" customHeight="1">
      <c r="A20" s="41"/>
      <c r="B20" s="42"/>
      <c r="C20" s="6"/>
      <c r="D20" s="48"/>
      <c r="E20" s="6"/>
      <c r="F20" s="6"/>
      <c r="G20" s="6"/>
      <c r="H20" s="6"/>
      <c r="I20" s="6"/>
      <c r="J20" s="6"/>
      <c r="K20" s="52"/>
      <c r="L20" s="53"/>
      <c r="M20" s="47"/>
      <c r="N20" s="56"/>
      <c r="O20" s="56"/>
      <c r="P20" s="42"/>
      <c r="Q20" s="42"/>
      <c r="R20" s="42"/>
    </row>
    <row r="21" ht="39.75" customHeight="1">
      <c r="A21" s="41">
        <f>A19+1</f>
        <v>7</v>
      </c>
      <c r="B21" s="42" t="s">
        <v>43</v>
      </c>
      <c r="C21" s="6"/>
      <c r="D21" s="43" t="s">
        <v>18</v>
      </c>
      <c r="E21" s="6"/>
      <c r="F21" s="6" t="str">
        <f>#REF!*#REF!</f>
        <v>#REF!</v>
      </c>
      <c r="G21" s="6" t="str">
        <f>IF(#REF!&gt;=0,10*#REF!,0)</f>
        <v>#REF!</v>
      </c>
      <c r="H21" s="6"/>
      <c r="I21" s="44" t="s">
        <v>44</v>
      </c>
      <c r="J21" s="6"/>
      <c r="K21" s="45">
        <v>4.0</v>
      </c>
      <c r="L21" s="46">
        <f>K21/K49</f>
        <v>0.8</v>
      </c>
      <c r="M21" s="47">
        <f>VLOOKUP(D21,Q1:R9,2,FALSE)</f>
        <v>2</v>
      </c>
      <c r="N21" s="47">
        <f>M21*L21</f>
        <v>1.6</v>
      </c>
      <c r="O21" s="47">
        <f>IF(M21=0,0,L21*MAX(R2:R8))</f>
        <v>4</v>
      </c>
      <c r="Q21" s="42"/>
      <c r="R21" s="42"/>
    </row>
    <row r="22" ht="12.0" customHeight="1">
      <c r="A22" s="41"/>
      <c r="B22" s="42"/>
      <c r="C22" s="6"/>
      <c r="D22" s="48"/>
      <c r="E22" s="6"/>
      <c r="F22" s="6"/>
      <c r="G22" s="6"/>
      <c r="H22" s="6"/>
      <c r="I22" s="6"/>
      <c r="J22" s="6"/>
      <c r="K22" s="45"/>
      <c r="L22" s="46"/>
      <c r="M22" s="47"/>
      <c r="N22" s="47"/>
      <c r="O22" s="47"/>
      <c r="Q22" s="42"/>
      <c r="R22" s="42"/>
    </row>
    <row r="23" ht="39.75" customHeight="1">
      <c r="A23" s="41">
        <f>A21+1</f>
        <v>8</v>
      </c>
      <c r="B23" s="57" t="s">
        <v>45</v>
      </c>
      <c r="C23" s="6"/>
      <c r="D23" s="43" t="s">
        <v>23</v>
      </c>
      <c r="E23" s="6"/>
      <c r="F23" s="6"/>
      <c r="G23" s="6"/>
      <c r="H23" s="6"/>
      <c r="I23" s="58" t="s">
        <v>46</v>
      </c>
      <c r="J23" s="6"/>
      <c r="K23" s="45">
        <v>5.0</v>
      </c>
      <c r="L23" s="46">
        <f>K23/K49</f>
        <v>1</v>
      </c>
      <c r="M23" s="47">
        <f>VLOOKUP(D23,Q1:R9,2,FALSE)</f>
        <v>4</v>
      </c>
      <c r="N23" s="47">
        <f>M23*L23</f>
        <v>4</v>
      </c>
      <c r="O23" s="47">
        <f>IF(M23=0,0,L23*MAX(R2:R8))</f>
        <v>5</v>
      </c>
      <c r="Q23" s="42"/>
      <c r="R23" s="42"/>
    </row>
    <row r="24" ht="13.5" customHeight="1">
      <c r="B24" s="55"/>
      <c r="C24" s="39"/>
      <c r="D24" s="59"/>
      <c r="E24" s="6"/>
      <c r="F24" s="6"/>
      <c r="G24" s="6"/>
      <c r="H24" s="6"/>
      <c r="I24" s="6"/>
      <c r="J24" s="6"/>
      <c r="K24" s="45"/>
      <c r="L24" s="46"/>
      <c r="M24" s="47"/>
      <c r="N24" s="47"/>
      <c r="O24" s="47"/>
      <c r="Q24" s="42"/>
      <c r="R24" s="42"/>
      <c r="S24" s="42"/>
    </row>
    <row r="25" ht="39.75" customHeight="1">
      <c r="A25" s="41">
        <f>A23+1</f>
        <v>9</v>
      </c>
      <c r="B25" s="42" t="s">
        <v>47</v>
      </c>
      <c r="C25" s="6"/>
      <c r="D25" s="43" t="s">
        <v>24</v>
      </c>
      <c r="E25" s="6"/>
      <c r="F25" s="6" t="str">
        <f>#REF!*#REF!</f>
        <v>#REF!</v>
      </c>
      <c r="G25" s="6" t="str">
        <f>IF(#REF!&gt;=0,10*#REF!,0)</f>
        <v>#REF!</v>
      </c>
      <c r="H25" s="6"/>
      <c r="I25" s="44" t="s">
        <v>48</v>
      </c>
      <c r="J25" s="6"/>
      <c r="K25" s="45">
        <v>5.0</v>
      </c>
      <c r="L25" s="46">
        <f>K25/K49</f>
        <v>1</v>
      </c>
      <c r="M25" s="47">
        <f>VLOOKUP(D25,Q1:R9,2,FALSE)</f>
        <v>5</v>
      </c>
      <c r="N25" s="47">
        <f>M25*L25</f>
        <v>5</v>
      </c>
      <c r="O25" s="47">
        <f>IF(M25=0,0,L25*MAX(R2:R8))</f>
        <v>5</v>
      </c>
      <c r="Q25" s="42"/>
      <c r="R25" s="42"/>
      <c r="S25" s="42"/>
    </row>
    <row r="26" ht="12.0" customHeight="1">
      <c r="A26" s="41"/>
      <c r="B26" s="42"/>
      <c r="C26" s="6"/>
      <c r="D26" s="48"/>
      <c r="E26" s="6"/>
      <c r="F26" s="6"/>
      <c r="G26" s="6"/>
      <c r="H26" s="6"/>
      <c r="I26" s="6"/>
      <c r="J26" s="6"/>
      <c r="K26" s="52"/>
      <c r="L26" s="53"/>
      <c r="M26" s="47"/>
      <c r="N26" s="60"/>
      <c r="O26" s="56"/>
      <c r="P26" s="19"/>
      <c r="Q26" s="19"/>
      <c r="R26" s="19"/>
      <c r="S26" s="19"/>
    </row>
    <row r="27" ht="39.75" customHeight="1">
      <c r="A27" s="41">
        <f>A25+1</f>
        <v>10</v>
      </c>
      <c r="B27" s="42" t="s">
        <v>49</v>
      </c>
      <c r="C27" s="6"/>
      <c r="D27" s="43" t="s">
        <v>19</v>
      </c>
      <c r="E27" s="6"/>
      <c r="F27" s="6" t="str">
        <f>#REF!*#REF!</f>
        <v>#REF!</v>
      </c>
      <c r="G27" s="6" t="str">
        <f>IF(#REF!&gt;=0,10*#REF!,0)</f>
        <v>#REF!</v>
      </c>
      <c r="H27" s="6"/>
      <c r="I27" s="44" t="s">
        <v>50</v>
      </c>
      <c r="J27" s="6"/>
      <c r="K27" s="45">
        <v>3.0</v>
      </c>
      <c r="L27" s="46">
        <f>K27/K49</f>
        <v>0.6</v>
      </c>
      <c r="M27" s="47">
        <f>VLOOKUP(D27,Q1:R9,2,FALSE)</f>
        <v>3</v>
      </c>
      <c r="N27" s="47">
        <f>M27*L27</f>
        <v>1.8</v>
      </c>
      <c r="O27" s="47">
        <f>IF(M27=0,0,L27*MAX(R2:R8))</f>
        <v>3</v>
      </c>
    </row>
    <row r="28" ht="12.0" customHeight="1">
      <c r="A28" s="41"/>
      <c r="B28" s="42"/>
      <c r="C28" s="6"/>
      <c r="D28" s="48"/>
      <c r="E28" s="6"/>
      <c r="F28" s="6"/>
      <c r="G28" s="6"/>
      <c r="H28" s="6"/>
      <c r="I28" s="6"/>
      <c r="J28" s="6"/>
      <c r="K28" s="45"/>
      <c r="L28" s="46"/>
      <c r="M28" s="47"/>
      <c r="N28" s="47"/>
      <c r="O28" s="47"/>
    </row>
    <row r="29" ht="39.75" customHeight="1">
      <c r="A29" s="41">
        <f>A27+1</f>
        <v>11</v>
      </c>
      <c r="B29" s="42" t="s">
        <v>51</v>
      </c>
      <c r="C29" s="6"/>
      <c r="D29" s="43" t="s">
        <v>23</v>
      </c>
      <c r="E29" s="6"/>
      <c r="F29" s="6"/>
      <c r="G29" s="6"/>
      <c r="H29" s="6"/>
      <c r="I29" s="61"/>
      <c r="J29" s="6"/>
      <c r="K29" s="45">
        <v>5.0</v>
      </c>
      <c r="L29" s="46">
        <f>K29/K49</f>
        <v>1</v>
      </c>
      <c r="M29" s="47">
        <f>VLOOKUP(D29,Q1:R9,2,FALSE)</f>
        <v>4</v>
      </c>
      <c r="N29" s="47">
        <f>M29*L29</f>
        <v>4</v>
      </c>
      <c r="O29" s="47">
        <f>IF(M29=0,0,L29*MAX(R2:R8))</f>
        <v>5</v>
      </c>
    </row>
    <row r="30" ht="12.0" customHeight="1">
      <c r="A30" s="41"/>
      <c r="B30" s="42"/>
      <c r="C30" s="6"/>
      <c r="D30" s="48"/>
      <c r="E30" s="6"/>
      <c r="F30" s="6"/>
      <c r="G30" s="6"/>
      <c r="H30" s="6"/>
      <c r="I30" s="6"/>
      <c r="J30" s="6"/>
      <c r="K30" s="45"/>
      <c r="L30" s="46"/>
      <c r="M30" s="47"/>
      <c r="N30" s="47"/>
      <c r="O30" s="47"/>
    </row>
    <row r="31" ht="39.75" customHeight="1">
      <c r="A31" s="41">
        <f>A29+1</f>
        <v>12</v>
      </c>
      <c r="B31" s="42" t="s">
        <v>52</v>
      </c>
      <c r="C31" s="6"/>
      <c r="D31" s="43" t="s">
        <v>19</v>
      </c>
      <c r="E31" s="6"/>
      <c r="F31" s="6" t="str">
        <f>#REF!*#REF!</f>
        <v>#REF!</v>
      </c>
      <c r="G31" s="6" t="str">
        <f>IF(#REF!&gt;=0,10*#REF!,0)</f>
        <v>#REF!</v>
      </c>
      <c r="H31" s="6"/>
      <c r="I31" s="44" t="s">
        <v>53</v>
      </c>
      <c r="J31" s="6"/>
      <c r="K31" s="45">
        <v>5.0</v>
      </c>
      <c r="L31" s="46">
        <f>K31/K49</f>
        <v>1</v>
      </c>
      <c r="M31" s="47">
        <f>VLOOKUP(D31,Q1:R9,2,FALSE)</f>
        <v>3</v>
      </c>
      <c r="N31" s="47">
        <f>M31*L31</f>
        <v>3</v>
      </c>
      <c r="O31" s="47">
        <f>IF(M31=0,0,L31*MAX(R2:R8))</f>
        <v>5</v>
      </c>
    </row>
    <row r="32" ht="12.0" customHeight="1">
      <c r="A32" s="41"/>
      <c r="B32" s="42"/>
      <c r="C32" s="6"/>
      <c r="D32" s="48"/>
      <c r="E32" s="6"/>
      <c r="F32" s="6"/>
      <c r="G32" s="6"/>
      <c r="H32" s="6"/>
      <c r="I32" s="6"/>
      <c r="J32" s="6"/>
      <c r="K32" s="45"/>
      <c r="L32" s="46"/>
      <c r="M32" s="47"/>
      <c r="N32" s="47"/>
      <c r="O32" s="47"/>
    </row>
    <row r="33" ht="39.75" customHeight="1">
      <c r="A33" s="41">
        <f>A31+1</f>
        <v>13</v>
      </c>
      <c r="B33" s="42" t="s">
        <v>54</v>
      </c>
      <c r="C33" s="6"/>
      <c r="D33" s="51" t="s">
        <v>24</v>
      </c>
      <c r="E33" s="6"/>
      <c r="F33" s="6" t="str">
        <f>#REF!*#REF!</f>
        <v>#REF!</v>
      </c>
      <c r="G33" s="6" t="str">
        <f>IF(#REF!&gt;=0,10*#REF!,0)</f>
        <v>#REF!</v>
      </c>
      <c r="H33" s="6"/>
      <c r="I33" s="44" t="s">
        <v>55</v>
      </c>
      <c r="J33" s="6"/>
      <c r="K33" s="45">
        <v>5.0</v>
      </c>
      <c r="L33" s="46">
        <f>K33/K49</f>
        <v>1</v>
      </c>
      <c r="M33" s="47">
        <f>VLOOKUP(D33,Q1:R9,2,FALSE)</f>
        <v>5</v>
      </c>
      <c r="N33" s="47">
        <f>M33*L33</f>
        <v>5</v>
      </c>
      <c r="O33" s="47">
        <f>IF(M33=0,0,L33*MAX(R2:R8))</f>
        <v>5</v>
      </c>
    </row>
    <row r="34" ht="12.0" customHeight="1">
      <c r="A34" s="41"/>
      <c r="B34" s="42"/>
      <c r="C34" s="6"/>
      <c r="D34" s="48"/>
      <c r="E34" s="6"/>
      <c r="F34" s="6"/>
      <c r="G34" s="6"/>
      <c r="H34" s="6"/>
      <c r="I34" s="6"/>
      <c r="J34" s="6"/>
      <c r="K34" s="45"/>
      <c r="L34" s="46"/>
      <c r="M34" s="47"/>
      <c r="N34" s="47"/>
      <c r="O34" s="47"/>
    </row>
    <row r="35" ht="39.75" customHeight="1">
      <c r="A35" s="41">
        <f>A33+1</f>
        <v>14</v>
      </c>
      <c r="B35" s="42" t="s">
        <v>56</v>
      </c>
      <c r="C35" s="6"/>
      <c r="D35" s="51" t="s">
        <v>24</v>
      </c>
      <c r="E35" s="6"/>
      <c r="F35" s="6" t="str">
        <f>#REF!*#REF!</f>
        <v>#REF!</v>
      </c>
      <c r="G35" s="6" t="str">
        <f>IF(#REF!&gt;=0,10*#REF!,0)</f>
        <v>#REF!</v>
      </c>
      <c r="H35" s="6"/>
      <c r="I35" s="44" t="s">
        <v>57</v>
      </c>
      <c r="J35" s="6"/>
      <c r="K35" s="45">
        <v>5.0</v>
      </c>
      <c r="L35" s="46">
        <f>K35/K49</f>
        <v>1</v>
      </c>
      <c r="M35" s="47">
        <f>VLOOKUP(D35,Q1:R9,2,FALSE)</f>
        <v>5</v>
      </c>
      <c r="N35" s="47">
        <f>M35*L35</f>
        <v>5</v>
      </c>
      <c r="O35" s="47">
        <f>IF(M35=0,0,L35*MAX(R2:R8))</f>
        <v>5</v>
      </c>
      <c r="Q35" s="42"/>
      <c r="R35" s="42"/>
      <c r="S35" s="42"/>
    </row>
    <row r="36" ht="12.0" customHeight="1">
      <c r="A36" s="41"/>
      <c r="B36" s="42"/>
      <c r="C36" s="6"/>
      <c r="D36" s="48"/>
      <c r="E36" s="6"/>
      <c r="F36" s="6"/>
      <c r="G36" s="6"/>
      <c r="H36" s="6"/>
      <c r="I36" s="6"/>
      <c r="J36" s="6"/>
      <c r="K36" s="52"/>
      <c r="L36" s="53"/>
      <c r="M36" s="47"/>
      <c r="N36" s="60"/>
      <c r="O36" s="56"/>
      <c r="P36" s="19"/>
      <c r="Q36" s="19"/>
      <c r="R36" s="19"/>
      <c r="S36" s="19"/>
    </row>
    <row r="37" ht="39.75" customHeight="1">
      <c r="A37" s="41">
        <f>A35+1</f>
        <v>15</v>
      </c>
      <c r="B37" s="42" t="s">
        <v>58</v>
      </c>
      <c r="C37" s="6"/>
      <c r="D37" s="51" t="s">
        <v>24</v>
      </c>
      <c r="E37" s="6"/>
      <c r="F37" s="6" t="str">
        <f>#REF!*#REF!</f>
        <v>#REF!</v>
      </c>
      <c r="G37" s="6" t="str">
        <f>IF(#REF!&gt;=0,10*#REF!,0)</f>
        <v>#REF!</v>
      </c>
      <c r="H37" s="6"/>
      <c r="I37" s="44" t="s">
        <v>59</v>
      </c>
      <c r="J37" s="6"/>
      <c r="K37" s="45">
        <v>3.0</v>
      </c>
      <c r="L37" s="46">
        <f>K37/K49</f>
        <v>0.6</v>
      </c>
      <c r="M37" s="47">
        <f>VLOOKUP(D37,Q1:R9,2,FALSE)</f>
        <v>5</v>
      </c>
      <c r="N37" s="47">
        <f>M37*L37</f>
        <v>3</v>
      </c>
      <c r="O37" s="47">
        <f>IF(M37=0,0,L37*MAX(R2:R8))</f>
        <v>3</v>
      </c>
    </row>
    <row r="38" ht="12.0" customHeight="1">
      <c r="A38" s="41"/>
      <c r="B38" s="42"/>
      <c r="C38" s="6"/>
      <c r="D38" s="48"/>
      <c r="E38" s="6"/>
      <c r="F38" s="6"/>
      <c r="G38" s="6"/>
      <c r="H38" s="6"/>
      <c r="I38" s="6"/>
      <c r="J38" s="6"/>
      <c r="K38" s="45"/>
      <c r="L38" s="46"/>
      <c r="M38" s="47"/>
      <c r="N38" s="47"/>
      <c r="O38" s="47"/>
    </row>
    <row r="39" ht="39.75" customHeight="1">
      <c r="A39" s="41">
        <f>A37+1</f>
        <v>16</v>
      </c>
      <c r="B39" s="62" t="s">
        <v>60</v>
      </c>
      <c r="C39" s="6"/>
      <c r="D39" s="43" t="s">
        <v>24</v>
      </c>
      <c r="E39" s="6"/>
      <c r="F39" s="6" t="str">
        <f>#REF!*#REF!</f>
        <v>#REF!</v>
      </c>
      <c r="G39" s="6" t="str">
        <f>IF(#REF!&gt;=0,10*#REF!,0)</f>
        <v>#REF!</v>
      </c>
      <c r="H39" s="6"/>
      <c r="I39" s="44" t="s">
        <v>61</v>
      </c>
      <c r="J39" s="6"/>
      <c r="K39" s="45">
        <v>5.0</v>
      </c>
      <c r="L39" s="46">
        <f>K39/K49</f>
        <v>1</v>
      </c>
      <c r="M39" s="47">
        <f>VLOOKUP(D39,Q1:R9,2,FALSE)</f>
        <v>5</v>
      </c>
      <c r="N39" s="47">
        <f>M39*L39</f>
        <v>5</v>
      </c>
      <c r="O39" s="47">
        <f>IF(M39=0,0,L39*MAX(R2:R8))</f>
        <v>5</v>
      </c>
    </row>
    <row r="40" ht="12.0" customHeight="1">
      <c r="A40" s="41"/>
      <c r="B40" s="42"/>
      <c r="C40" s="6"/>
      <c r="D40" s="48"/>
      <c r="E40" s="6"/>
      <c r="F40" s="6"/>
      <c r="G40" s="6"/>
      <c r="H40" s="6"/>
      <c r="I40" s="6"/>
      <c r="J40" s="6"/>
      <c r="K40" s="45"/>
      <c r="L40" s="46"/>
      <c r="M40" s="47"/>
      <c r="N40" s="47"/>
      <c r="O40" s="47"/>
    </row>
    <row r="41" ht="39.75" customHeight="1">
      <c r="A41" s="41">
        <f>A39+1</f>
        <v>17</v>
      </c>
      <c r="B41" s="42" t="s">
        <v>62</v>
      </c>
      <c r="C41" s="6"/>
      <c r="D41" s="43" t="s">
        <v>18</v>
      </c>
      <c r="E41" s="6"/>
      <c r="F41" s="6" t="str">
        <f>#REF!*#REF!</f>
        <v>#REF!</v>
      </c>
      <c r="G41" s="6" t="str">
        <f>IF(#REF!&gt;=0,10*#REF!,0)</f>
        <v>#REF!</v>
      </c>
      <c r="H41" s="6"/>
      <c r="I41" s="44" t="s">
        <v>63</v>
      </c>
      <c r="J41" s="6"/>
      <c r="K41" s="45">
        <v>3.0</v>
      </c>
      <c r="L41" s="46">
        <f>K41/K49</f>
        <v>0.6</v>
      </c>
      <c r="M41" s="47">
        <f>VLOOKUP(D41,Q1:R9,2,FALSE)</f>
        <v>2</v>
      </c>
      <c r="N41" s="47">
        <f>M41*L41</f>
        <v>1.2</v>
      </c>
      <c r="O41" s="47">
        <f>IF(M41=0,0,L41*MAX(R2:R8))</f>
        <v>3</v>
      </c>
    </row>
    <row r="42" ht="13.5" customHeight="1">
      <c r="B42" s="55"/>
      <c r="C42" s="39"/>
      <c r="D42" s="59"/>
      <c r="E42" s="6"/>
      <c r="F42" s="6"/>
      <c r="G42" s="6"/>
      <c r="H42" s="6"/>
      <c r="I42" s="6"/>
      <c r="J42" s="6"/>
      <c r="K42" s="45"/>
      <c r="L42" s="46"/>
      <c r="M42" s="47"/>
      <c r="N42" s="47"/>
      <c r="O42" s="47"/>
    </row>
    <row r="43" ht="39.75" customHeight="1">
      <c r="A43" s="41">
        <f>A41+1</f>
        <v>18</v>
      </c>
      <c r="B43" s="42" t="s">
        <v>64</v>
      </c>
      <c r="C43" s="6"/>
      <c r="D43" s="43" t="s">
        <v>23</v>
      </c>
      <c r="E43" s="6"/>
      <c r="F43" s="6" t="str">
        <f>#REF!*#REF!</f>
        <v>#REF!</v>
      </c>
      <c r="G43" s="6" t="str">
        <f>IF(#REF!&gt;=0,10*#REF!,0)</f>
        <v>#REF!</v>
      </c>
      <c r="H43" s="6"/>
      <c r="I43" s="63"/>
      <c r="J43" s="6"/>
      <c r="K43" s="45">
        <v>4.0</v>
      </c>
      <c r="L43" s="46">
        <f>K43/K49</f>
        <v>0.8</v>
      </c>
      <c r="M43" s="47">
        <f>VLOOKUP(D43,Q1:R9,2,FALSE)</f>
        <v>4</v>
      </c>
      <c r="N43" s="47">
        <f>M43*L43</f>
        <v>3.2</v>
      </c>
      <c r="O43" s="47">
        <f>IF(M43=0,0,L43*MAX(R2:R8))</f>
        <v>4</v>
      </c>
    </row>
    <row r="44" ht="12.0" customHeight="1">
      <c r="A44" s="41"/>
      <c r="B44" s="42"/>
      <c r="C44" s="6"/>
      <c r="D44" s="48"/>
      <c r="E44" s="6"/>
      <c r="F44" s="6"/>
      <c r="G44" s="6"/>
      <c r="H44" s="6"/>
      <c r="I44" s="6"/>
      <c r="J44" s="6"/>
      <c r="K44" s="45"/>
      <c r="L44" s="46"/>
      <c r="M44" s="47"/>
      <c r="N44" s="47"/>
      <c r="O44" s="47"/>
    </row>
    <row r="45" ht="39.75" customHeight="1">
      <c r="A45" s="41">
        <f>A43+1</f>
        <v>19</v>
      </c>
      <c r="B45" s="42" t="s">
        <v>65</v>
      </c>
      <c r="C45" s="6"/>
      <c r="D45" s="43" t="s">
        <v>23</v>
      </c>
      <c r="E45" s="6"/>
      <c r="F45" s="6" t="str">
        <f>#REF!*#REF!</f>
        <v>#REF!</v>
      </c>
      <c r="G45" s="6" t="str">
        <f>IF(#REF!&gt;=0,10*#REF!,0)</f>
        <v>#REF!</v>
      </c>
      <c r="H45" s="6"/>
      <c r="I45" s="44" t="s">
        <v>66</v>
      </c>
      <c r="J45" s="6"/>
      <c r="K45" s="45">
        <v>5.0</v>
      </c>
      <c r="L45" s="46">
        <f>K45/K49</f>
        <v>1</v>
      </c>
      <c r="M45" s="47">
        <f>VLOOKUP(D45,Q1:R9,2,FALSE)</f>
        <v>4</v>
      </c>
      <c r="N45" s="47">
        <f>M45*L45</f>
        <v>4</v>
      </c>
      <c r="O45" s="47">
        <f>IF(M45=0,0,L45*MAX(R2:R8))</f>
        <v>5</v>
      </c>
    </row>
    <row r="46" ht="12.0" customHeight="1">
      <c r="A46" s="41"/>
      <c r="B46" s="42"/>
      <c r="C46" s="6"/>
      <c r="D46" s="48"/>
      <c r="E46" s="6"/>
      <c r="F46" s="6"/>
      <c r="G46" s="6"/>
      <c r="H46" s="6"/>
      <c r="I46" s="6"/>
      <c r="J46" s="6"/>
      <c r="K46" s="45"/>
      <c r="L46" s="46"/>
      <c r="M46" s="47"/>
      <c r="N46" s="47"/>
      <c r="O46" s="47"/>
    </row>
    <row r="47" ht="39.75" customHeight="1">
      <c r="A47" s="41">
        <f>A45+1</f>
        <v>20</v>
      </c>
      <c r="B47" s="42" t="s">
        <v>67</v>
      </c>
      <c r="C47" s="6"/>
      <c r="D47" s="43" t="s">
        <v>19</v>
      </c>
      <c r="E47" s="6"/>
      <c r="F47" s="6" t="str">
        <f>#REF!*#REF!</f>
        <v>#REF!</v>
      </c>
      <c r="G47" s="6" t="str">
        <f>IF(#REF!&gt;=0,10*#REF!,0)</f>
        <v>#REF!</v>
      </c>
      <c r="H47" s="6"/>
      <c r="I47" s="64" t="s">
        <v>68</v>
      </c>
      <c r="J47" s="6"/>
      <c r="K47" s="45">
        <v>3.0</v>
      </c>
      <c r="L47" s="46">
        <f>K47/K49</f>
        <v>0.6</v>
      </c>
      <c r="M47" s="47">
        <f>VLOOKUP(D47,Q1:R9,2,FALSE)</f>
        <v>3</v>
      </c>
      <c r="N47" s="47">
        <f>M47*L47</f>
        <v>1.8</v>
      </c>
      <c r="O47" s="47">
        <f>IF(M47=0,0,L47*MAX(R2:R8))</f>
        <v>3</v>
      </c>
    </row>
    <row r="48" ht="12.0" customHeight="1">
      <c r="B48" s="65"/>
      <c r="C48" s="6"/>
      <c r="D48" s="48"/>
      <c r="E48" s="6"/>
      <c r="F48" s="6"/>
      <c r="G48" s="6"/>
      <c r="H48" s="6"/>
      <c r="I48" s="6"/>
      <c r="J48" s="6"/>
      <c r="K48" s="66"/>
      <c r="L48" s="66"/>
      <c r="M48" s="66"/>
      <c r="N48" s="67"/>
      <c r="O48" s="67"/>
    </row>
    <row r="49" ht="24.0" customHeight="1">
      <c r="A49" s="68" t="s">
        <v>69</v>
      </c>
      <c r="B49" s="69"/>
      <c r="C49" s="70"/>
      <c r="D49" s="71">
        <f>IF(ISERR((N49/O49)*100),"",(N49/O49)*100)</f>
        <v>79.76190476</v>
      </c>
      <c r="E49" s="72"/>
      <c r="F49" s="72"/>
      <c r="G49" s="72"/>
      <c r="H49" s="73" t="str">
        <f>IF(D49="","","-")</f>
        <v>-</v>
      </c>
      <c r="I49" s="74" t="str">
        <f>VLOOKUP(J49,'Rating ranges'!A2:B7,2,TRUE)</f>
        <v>Bueno</v>
      </c>
      <c r="J49" s="75">
        <f>IF(D49="",0,D49)</f>
        <v>79.76190476</v>
      </c>
      <c r="K49" s="66">
        <f>MAX(K9:K47)</f>
        <v>5</v>
      </c>
      <c r="L49" s="66"/>
      <c r="M49" s="66"/>
      <c r="N49" s="67">
        <f t="shared" ref="N49:O49" si="1">SUM(N9:N47)</f>
        <v>67</v>
      </c>
      <c r="O49" s="67">
        <f t="shared" si="1"/>
        <v>84</v>
      </c>
    </row>
    <row r="50" ht="12.75" customHeight="1">
      <c r="D50" s="38"/>
      <c r="E50" s="6"/>
      <c r="F50" s="6"/>
      <c r="G50" s="6"/>
      <c r="H50" s="6"/>
      <c r="I50" s="6"/>
      <c r="J50" s="6"/>
      <c r="K50" s="18"/>
      <c r="L50" s="18"/>
      <c r="M50" s="6"/>
    </row>
    <row r="51" ht="12.0" customHeight="1">
      <c r="A51" s="76" t="str">
        <f>"* Very poor (less than "&amp;('Rating ranges'!A4)&amp;") - Flojísimo."</f>
        <v>* Very poor (less than 29) - Flojísimo.</v>
      </c>
      <c r="B51" s="77"/>
      <c r="C51" s="77"/>
      <c r="D51" s="77"/>
      <c r="E51" s="77"/>
      <c r="F51" s="77"/>
      <c r="G51" s="77"/>
      <c r="H51" s="77"/>
      <c r="I51" s="78"/>
      <c r="J51" s="6"/>
      <c r="K51" s="18"/>
      <c r="L51" s="18"/>
      <c r="M51" s="6"/>
    </row>
    <row r="52" ht="15.0" customHeight="1">
      <c r="A52" s="79" t="str">
        <f>"* Poor (between "&amp;('Rating ranges'!A4)&amp;" and "&amp;('Rating ranges'!A5)&amp;") - Flojo."</f>
        <v>* Poor (between 29 and 49) - Flojo.</v>
      </c>
      <c r="I52" s="80"/>
      <c r="J52" s="6"/>
      <c r="K52" s="18"/>
      <c r="L52" s="18"/>
      <c r="M52" s="6"/>
    </row>
    <row r="53" ht="12.0" customHeight="1">
      <c r="A53" s="81" t="str">
        <f>"* Moderate (between "&amp;('Rating ranges'!A5)&amp;" and "&amp;('Rating ranges'!A6)&amp;") - Justo pero no brillante."</f>
        <v>* Moderate (between 49 and 69) - Justo pero no brillante.</v>
      </c>
      <c r="I53" s="80"/>
      <c r="J53" s="6"/>
      <c r="K53" s="18"/>
      <c r="L53" s="18"/>
      <c r="M53" s="6"/>
    </row>
    <row r="54" ht="12.0" customHeight="1">
      <c r="A54" s="79" t="str">
        <f>"* Good (between "&amp;('Rating ranges'!A6)&amp;" and "&amp;('Rating ranges'!A7)&amp;") - Bueno, lo han hecho con correctitud"</f>
        <v>* Good (between 69 and 89) - Bueno, lo han hecho con correctitud</v>
      </c>
      <c r="I54" s="80"/>
      <c r="J54" s="6"/>
      <c r="K54" s="18"/>
      <c r="L54" s="18"/>
      <c r="M54" s="6"/>
    </row>
    <row r="55" ht="12.0" customHeight="1">
      <c r="A55" s="82" t="str">
        <f>"* Excellent (more than "&amp;('Rating ranges'!A7)&amp;") - Excelente, lo tiene todo. Merece la pena fijarse en este"</f>
        <v>* Excellent (more than 89) - Excelente, lo tiene todo. Merece la pena fijarse en este</v>
      </c>
      <c r="B55" s="83"/>
      <c r="C55" s="83"/>
      <c r="D55" s="83"/>
      <c r="E55" s="83"/>
      <c r="F55" s="83"/>
      <c r="G55" s="83"/>
      <c r="H55" s="83"/>
      <c r="I55" s="84"/>
      <c r="J55" s="6"/>
      <c r="K55" s="18"/>
      <c r="L55" s="18"/>
      <c r="M55" s="6"/>
    </row>
    <row r="56" ht="12.75" customHeight="1">
      <c r="D56" s="38"/>
      <c r="E56" s="6"/>
      <c r="F56" s="6"/>
      <c r="G56" s="6"/>
      <c r="H56" s="6"/>
      <c r="I56" s="6"/>
      <c r="J56" s="6"/>
      <c r="K56" s="18"/>
      <c r="L56" s="18"/>
      <c r="M56" s="6"/>
    </row>
    <row r="57" ht="12.75" customHeight="1">
      <c r="D57" s="85"/>
      <c r="E57" s="6"/>
      <c r="F57" s="6"/>
      <c r="G57" s="6"/>
      <c r="H57" s="6"/>
      <c r="I57" s="6"/>
      <c r="J57" s="6"/>
      <c r="K57" s="18"/>
      <c r="L57" s="18"/>
      <c r="M57" s="6"/>
    </row>
    <row r="58" ht="12.0" customHeight="1">
      <c r="A58" s="6"/>
      <c r="B58" s="86"/>
      <c r="C58" s="87"/>
      <c r="D58" s="87"/>
      <c r="E58" s="87"/>
      <c r="F58" s="87"/>
      <c r="G58" s="87"/>
      <c r="H58" s="87"/>
      <c r="I58" s="87"/>
      <c r="J58" s="88"/>
      <c r="K58" s="18"/>
      <c r="L58" s="18"/>
      <c r="M58" s="6"/>
    </row>
    <row r="59" ht="12.75" customHeight="1">
      <c r="D59" s="38"/>
      <c r="E59" s="6"/>
      <c r="F59" s="6"/>
      <c r="G59" s="6"/>
      <c r="H59" s="6"/>
      <c r="I59" s="6"/>
      <c r="J59" s="6"/>
      <c r="K59" s="18"/>
      <c r="L59" s="18"/>
      <c r="M59" s="6"/>
    </row>
    <row r="60" ht="12.75" customHeight="1">
      <c r="D60" s="38"/>
      <c r="E60" s="6"/>
      <c r="F60" s="6"/>
      <c r="G60" s="6"/>
      <c r="H60" s="6"/>
      <c r="I60" s="6"/>
      <c r="J60" s="6"/>
      <c r="K60" s="18"/>
      <c r="L60" s="18"/>
      <c r="M60" s="6"/>
    </row>
    <row r="61" ht="12.75" customHeight="1">
      <c r="D61" s="38"/>
      <c r="E61" s="6"/>
      <c r="F61" s="6"/>
      <c r="G61" s="6"/>
      <c r="H61" s="6"/>
      <c r="I61" s="6"/>
      <c r="J61" s="6"/>
      <c r="K61" s="18"/>
      <c r="L61" s="18"/>
      <c r="M61" s="6"/>
    </row>
    <row r="62" ht="12.75" customHeight="1">
      <c r="D62" s="38"/>
      <c r="E62" s="6"/>
      <c r="F62" s="6"/>
      <c r="G62" s="6"/>
      <c r="H62" s="6"/>
      <c r="I62" s="6"/>
      <c r="J62" s="6"/>
      <c r="K62" s="18"/>
      <c r="L62" s="18"/>
      <c r="M62" s="6"/>
    </row>
    <row r="63" ht="12.75" customHeight="1">
      <c r="D63" s="38"/>
      <c r="E63" s="6"/>
      <c r="F63" s="6"/>
      <c r="G63" s="6"/>
      <c r="H63" s="6"/>
      <c r="I63" s="6"/>
      <c r="J63" s="6"/>
      <c r="K63" s="18"/>
      <c r="L63" s="18"/>
      <c r="M63" s="6"/>
    </row>
    <row r="64" ht="12.75" customHeight="1">
      <c r="D64" s="38"/>
      <c r="E64" s="6"/>
      <c r="F64" s="6"/>
      <c r="G64" s="6"/>
      <c r="H64" s="6"/>
      <c r="I64" s="6"/>
      <c r="J64" s="6"/>
      <c r="K64" s="18"/>
      <c r="L64" s="18"/>
      <c r="M64" s="6"/>
    </row>
    <row r="65" ht="12.75" customHeight="1">
      <c r="D65" s="38"/>
      <c r="E65" s="6"/>
      <c r="F65" s="6"/>
      <c r="G65" s="6"/>
      <c r="H65" s="6"/>
      <c r="I65" s="6"/>
      <c r="J65" s="6"/>
      <c r="K65" s="18"/>
      <c r="L65" s="18"/>
      <c r="M65" s="6"/>
    </row>
    <row r="66" ht="12.75" customHeight="1">
      <c r="D66" s="38"/>
      <c r="E66" s="6"/>
      <c r="F66" s="6"/>
      <c r="G66" s="6"/>
      <c r="H66" s="6"/>
      <c r="I66" s="6"/>
      <c r="J66" s="6"/>
      <c r="K66" s="18"/>
      <c r="L66" s="18"/>
      <c r="M66" s="6"/>
    </row>
    <row r="67" ht="12.75" customHeight="1">
      <c r="D67" s="38"/>
      <c r="E67" s="6"/>
      <c r="F67" s="6"/>
      <c r="G67" s="6"/>
      <c r="H67" s="6"/>
      <c r="I67" s="6"/>
      <c r="J67" s="6"/>
      <c r="K67" s="18"/>
      <c r="L67" s="18"/>
      <c r="M67" s="6"/>
    </row>
    <row r="68" ht="12.75" customHeight="1">
      <c r="D68" s="38"/>
      <c r="E68" s="6"/>
      <c r="F68" s="6"/>
      <c r="G68" s="6"/>
      <c r="H68" s="6"/>
      <c r="I68" s="6"/>
      <c r="J68" s="6"/>
      <c r="K68" s="18"/>
      <c r="L68" s="18"/>
      <c r="M68" s="6"/>
    </row>
    <row r="69" ht="12.75" customHeight="1">
      <c r="D69" s="38"/>
      <c r="E69" s="6"/>
      <c r="F69" s="6"/>
      <c r="G69" s="6"/>
      <c r="H69" s="6"/>
      <c r="I69" s="6"/>
      <c r="J69" s="6"/>
      <c r="K69" s="18"/>
      <c r="L69" s="18"/>
      <c r="M69" s="6"/>
    </row>
    <row r="70" ht="12.75" customHeight="1">
      <c r="D70" s="38"/>
      <c r="E70" s="6"/>
      <c r="F70" s="6"/>
      <c r="G70" s="6"/>
      <c r="H70" s="6"/>
      <c r="I70" s="6"/>
      <c r="J70" s="6"/>
      <c r="K70" s="18"/>
      <c r="L70" s="18"/>
      <c r="M70" s="6"/>
    </row>
    <row r="71" ht="12.75" customHeight="1">
      <c r="D71" s="38"/>
      <c r="E71" s="6"/>
      <c r="F71" s="6"/>
      <c r="G71" s="6"/>
      <c r="H71" s="6"/>
      <c r="I71" s="6"/>
      <c r="J71" s="6"/>
      <c r="K71" s="18"/>
      <c r="L71" s="18"/>
      <c r="M71" s="6"/>
    </row>
    <row r="72" ht="12.75" customHeight="1">
      <c r="D72" s="38"/>
      <c r="E72" s="6"/>
      <c r="F72" s="6"/>
      <c r="G72" s="6"/>
      <c r="H72" s="6"/>
      <c r="I72" s="6"/>
      <c r="J72" s="6"/>
      <c r="K72" s="18"/>
      <c r="L72" s="18"/>
      <c r="M72" s="6"/>
    </row>
    <row r="73" ht="12.75" customHeight="1">
      <c r="D73" s="38"/>
      <c r="E73" s="6"/>
      <c r="F73" s="6"/>
      <c r="G73" s="6"/>
      <c r="H73" s="6"/>
      <c r="I73" s="6"/>
      <c r="J73" s="6"/>
      <c r="K73" s="18"/>
      <c r="L73" s="18"/>
      <c r="M73" s="6"/>
    </row>
    <row r="74" ht="12.75" customHeight="1">
      <c r="D74" s="38"/>
      <c r="E74" s="6"/>
      <c r="F74" s="6"/>
      <c r="G74" s="6"/>
      <c r="H74" s="6"/>
      <c r="I74" s="6"/>
      <c r="J74" s="6"/>
      <c r="K74" s="18"/>
      <c r="L74" s="18"/>
      <c r="M74" s="6"/>
    </row>
    <row r="75" ht="12.75" customHeight="1">
      <c r="D75" s="38"/>
      <c r="E75" s="6"/>
      <c r="F75" s="6"/>
      <c r="G75" s="6"/>
      <c r="H75" s="6"/>
      <c r="I75" s="6"/>
      <c r="J75" s="6"/>
      <c r="K75" s="18"/>
      <c r="L75" s="18"/>
      <c r="M75" s="6"/>
    </row>
    <row r="76" ht="12.75" customHeight="1">
      <c r="D76" s="38"/>
      <c r="E76" s="6"/>
      <c r="F76" s="6"/>
      <c r="G76" s="6"/>
      <c r="H76" s="6"/>
      <c r="I76" s="6"/>
      <c r="J76" s="6"/>
      <c r="K76" s="18"/>
      <c r="L76" s="18"/>
      <c r="M76" s="6"/>
    </row>
    <row r="77" ht="12.75" customHeight="1">
      <c r="D77" s="38"/>
      <c r="E77" s="6"/>
      <c r="F77" s="6"/>
      <c r="G77" s="6"/>
      <c r="H77" s="6"/>
      <c r="I77" s="6"/>
      <c r="J77" s="6"/>
      <c r="K77" s="18"/>
      <c r="L77" s="18"/>
      <c r="M77" s="6"/>
    </row>
    <row r="78" ht="12.75" customHeight="1">
      <c r="D78" s="38"/>
      <c r="E78" s="6"/>
      <c r="F78" s="6"/>
      <c r="G78" s="6"/>
      <c r="H78" s="6"/>
      <c r="I78" s="6"/>
      <c r="J78" s="6"/>
      <c r="K78" s="18"/>
      <c r="L78" s="18"/>
      <c r="M78" s="6"/>
    </row>
    <row r="79" ht="12.75" customHeight="1">
      <c r="D79" s="38"/>
      <c r="E79" s="6"/>
      <c r="F79" s="6"/>
      <c r="G79" s="6"/>
      <c r="H79" s="6"/>
      <c r="I79" s="6"/>
      <c r="J79" s="6"/>
      <c r="K79" s="18"/>
      <c r="L79" s="18"/>
      <c r="M79" s="6"/>
    </row>
    <row r="80" ht="12.75" customHeight="1">
      <c r="D80" s="38"/>
      <c r="E80" s="6"/>
      <c r="F80" s="6"/>
      <c r="G80" s="6"/>
      <c r="H80" s="6"/>
      <c r="I80" s="6"/>
      <c r="J80" s="6"/>
      <c r="K80" s="18"/>
      <c r="L80" s="18"/>
      <c r="M80" s="6"/>
    </row>
    <row r="81" ht="12.75" customHeight="1">
      <c r="D81" s="38"/>
      <c r="E81" s="6"/>
      <c r="F81" s="6"/>
      <c r="G81" s="6"/>
      <c r="H81" s="6"/>
      <c r="I81" s="6"/>
      <c r="J81" s="6"/>
      <c r="K81" s="18"/>
      <c r="L81" s="18"/>
      <c r="M81" s="6"/>
    </row>
    <row r="82" ht="12.75" customHeight="1">
      <c r="D82" s="38"/>
      <c r="E82" s="6"/>
      <c r="F82" s="6"/>
      <c r="G82" s="6"/>
      <c r="H82" s="6"/>
      <c r="I82" s="6"/>
      <c r="J82" s="6"/>
      <c r="K82" s="18"/>
      <c r="L82" s="18"/>
      <c r="M82" s="6"/>
    </row>
    <row r="83" ht="12.75" customHeight="1">
      <c r="D83" s="38"/>
      <c r="E83" s="6"/>
      <c r="F83" s="6"/>
      <c r="G83" s="6"/>
      <c r="H83" s="6"/>
      <c r="I83" s="6"/>
      <c r="J83" s="6"/>
      <c r="K83" s="18"/>
      <c r="L83" s="18"/>
      <c r="M83" s="6"/>
    </row>
    <row r="84" ht="12.75" customHeight="1">
      <c r="D84" s="38"/>
      <c r="E84" s="6"/>
      <c r="F84" s="6"/>
      <c r="G84" s="6"/>
      <c r="H84" s="6"/>
      <c r="I84" s="6"/>
      <c r="J84" s="6"/>
      <c r="K84" s="18"/>
      <c r="L84" s="18"/>
      <c r="M84" s="6"/>
    </row>
    <row r="85" ht="12.75" customHeight="1">
      <c r="D85" s="38"/>
      <c r="E85" s="6"/>
      <c r="F85" s="6"/>
      <c r="G85" s="6"/>
      <c r="H85" s="6"/>
      <c r="I85" s="6"/>
      <c r="J85" s="6"/>
      <c r="K85" s="18"/>
      <c r="L85" s="18"/>
      <c r="M85" s="6"/>
    </row>
    <row r="86" ht="12.75" customHeight="1">
      <c r="D86" s="38"/>
      <c r="E86" s="6"/>
      <c r="F86" s="6"/>
      <c r="G86" s="6"/>
      <c r="H86" s="6"/>
      <c r="I86" s="6"/>
      <c r="J86" s="6"/>
      <c r="K86" s="18"/>
      <c r="L86" s="18"/>
      <c r="M86" s="6"/>
    </row>
    <row r="87" ht="12.75" customHeight="1">
      <c r="D87" s="38"/>
      <c r="E87" s="6"/>
      <c r="F87" s="6"/>
      <c r="G87" s="6"/>
      <c r="H87" s="6"/>
      <c r="I87" s="6"/>
      <c r="J87" s="6"/>
      <c r="K87" s="18"/>
      <c r="L87" s="18"/>
      <c r="M87" s="6"/>
    </row>
    <row r="88" ht="12.75" customHeight="1">
      <c r="D88" s="38"/>
      <c r="E88" s="6"/>
      <c r="F88" s="6"/>
      <c r="G88" s="6"/>
      <c r="H88" s="6"/>
      <c r="I88" s="6"/>
      <c r="J88" s="6"/>
      <c r="K88" s="18"/>
      <c r="L88" s="18"/>
      <c r="M88" s="6"/>
    </row>
    <row r="89" ht="12.75" customHeight="1">
      <c r="D89" s="38"/>
      <c r="E89" s="6"/>
      <c r="F89" s="6"/>
      <c r="G89" s="6"/>
      <c r="H89" s="6"/>
      <c r="I89" s="6"/>
      <c r="J89" s="6"/>
      <c r="K89" s="18"/>
      <c r="L89" s="18"/>
      <c r="M89" s="6"/>
    </row>
    <row r="90" ht="12.75" customHeight="1">
      <c r="D90" s="38"/>
      <c r="E90" s="6"/>
      <c r="F90" s="6"/>
      <c r="G90" s="6"/>
      <c r="H90" s="6"/>
      <c r="I90" s="6"/>
      <c r="J90" s="6"/>
      <c r="K90" s="18"/>
      <c r="L90" s="18"/>
      <c r="M90" s="6"/>
    </row>
    <row r="91" ht="12.75" customHeight="1">
      <c r="D91" s="38"/>
      <c r="E91" s="6"/>
      <c r="F91" s="6"/>
      <c r="G91" s="6"/>
      <c r="H91" s="6"/>
      <c r="I91" s="6"/>
      <c r="J91" s="6"/>
      <c r="K91" s="18"/>
      <c r="L91" s="18"/>
      <c r="M91" s="6"/>
    </row>
    <row r="92" ht="12.75" customHeight="1">
      <c r="D92" s="38"/>
      <c r="E92" s="6"/>
      <c r="F92" s="6"/>
      <c r="G92" s="6"/>
      <c r="H92" s="6"/>
      <c r="I92" s="6"/>
      <c r="J92" s="6"/>
      <c r="K92" s="18"/>
      <c r="L92" s="18"/>
      <c r="M92" s="6"/>
    </row>
    <row r="93" ht="12.75" customHeight="1">
      <c r="D93" s="38"/>
      <c r="E93" s="6"/>
      <c r="F93" s="6"/>
      <c r="G93" s="6"/>
      <c r="H93" s="6"/>
      <c r="I93" s="6"/>
      <c r="J93" s="6"/>
      <c r="K93" s="18"/>
      <c r="L93" s="18"/>
      <c r="M93" s="6"/>
    </row>
    <row r="94" ht="12.75" customHeight="1">
      <c r="D94" s="38"/>
      <c r="E94" s="6"/>
      <c r="F94" s="6"/>
      <c r="G94" s="6"/>
      <c r="H94" s="6"/>
      <c r="I94" s="6"/>
      <c r="J94" s="6"/>
      <c r="K94" s="18"/>
      <c r="L94" s="18"/>
      <c r="M94" s="6"/>
    </row>
    <row r="95" ht="12.75" customHeight="1">
      <c r="D95" s="38"/>
      <c r="E95" s="6"/>
      <c r="F95" s="6"/>
      <c r="G95" s="6"/>
      <c r="H95" s="6"/>
      <c r="I95" s="6"/>
      <c r="J95" s="6"/>
      <c r="K95" s="18"/>
      <c r="L95" s="18"/>
      <c r="M95" s="6"/>
    </row>
    <row r="96" ht="12.75" customHeight="1">
      <c r="D96" s="38"/>
      <c r="E96" s="6"/>
      <c r="F96" s="6"/>
      <c r="G96" s="6"/>
      <c r="H96" s="6"/>
      <c r="I96" s="6"/>
      <c r="J96" s="6"/>
      <c r="K96" s="18"/>
      <c r="L96" s="18"/>
      <c r="M96" s="6"/>
    </row>
    <row r="97" ht="12.75" customHeight="1">
      <c r="D97" s="38"/>
      <c r="E97" s="6"/>
      <c r="F97" s="6"/>
      <c r="G97" s="6"/>
      <c r="H97" s="6"/>
      <c r="I97" s="6"/>
      <c r="J97" s="6"/>
      <c r="K97" s="18"/>
      <c r="L97" s="18"/>
      <c r="M97" s="6"/>
    </row>
    <row r="98" ht="12.75" customHeight="1">
      <c r="D98" s="38"/>
      <c r="E98" s="6"/>
      <c r="F98" s="6"/>
      <c r="G98" s="6"/>
      <c r="H98" s="6"/>
      <c r="I98" s="6"/>
      <c r="J98" s="6"/>
      <c r="K98" s="18"/>
      <c r="L98" s="18"/>
      <c r="M98" s="6"/>
    </row>
    <row r="99" ht="12.75" customHeight="1">
      <c r="D99" s="38"/>
      <c r="E99" s="6"/>
      <c r="F99" s="6"/>
      <c r="G99" s="6"/>
      <c r="H99" s="6"/>
      <c r="I99" s="6"/>
      <c r="J99" s="6"/>
      <c r="K99" s="18"/>
      <c r="L99" s="18"/>
      <c r="M99" s="6"/>
    </row>
    <row r="100" ht="12.75" customHeight="1">
      <c r="D100" s="38"/>
      <c r="E100" s="6"/>
      <c r="F100" s="6"/>
      <c r="G100" s="6"/>
      <c r="H100" s="6"/>
      <c r="I100" s="6"/>
      <c r="J100" s="6"/>
      <c r="K100" s="18"/>
      <c r="L100" s="18"/>
      <c r="M100" s="6"/>
    </row>
    <row r="101" ht="12.75" customHeight="1">
      <c r="D101" s="38"/>
      <c r="E101" s="6"/>
      <c r="F101" s="6"/>
      <c r="G101" s="6"/>
      <c r="H101" s="6"/>
      <c r="I101" s="6"/>
      <c r="J101" s="6"/>
      <c r="K101" s="18"/>
      <c r="L101" s="18"/>
      <c r="M101" s="6"/>
    </row>
    <row r="102" ht="12.75" customHeight="1">
      <c r="D102" s="38"/>
      <c r="E102" s="6"/>
      <c r="F102" s="6"/>
      <c r="G102" s="6"/>
      <c r="H102" s="6"/>
      <c r="I102" s="6"/>
      <c r="J102" s="6"/>
      <c r="K102" s="18"/>
      <c r="L102" s="18"/>
      <c r="M102" s="6"/>
    </row>
    <row r="103" ht="12.75" customHeight="1">
      <c r="D103" s="38"/>
      <c r="E103" s="6"/>
      <c r="F103" s="6"/>
      <c r="G103" s="6"/>
      <c r="H103" s="6"/>
      <c r="I103" s="6"/>
      <c r="J103" s="6"/>
      <c r="K103" s="18"/>
      <c r="L103" s="18"/>
      <c r="M103" s="6"/>
    </row>
    <row r="104" ht="12.75" customHeight="1">
      <c r="D104" s="38"/>
      <c r="E104" s="6"/>
      <c r="F104" s="6"/>
      <c r="G104" s="6"/>
      <c r="H104" s="6"/>
      <c r="I104" s="6"/>
      <c r="J104" s="6"/>
      <c r="K104" s="18"/>
      <c r="L104" s="18"/>
      <c r="M104" s="6"/>
    </row>
    <row r="105" ht="12.75" customHeight="1">
      <c r="D105" s="38"/>
      <c r="E105" s="6"/>
      <c r="F105" s="6"/>
      <c r="G105" s="6"/>
      <c r="H105" s="6"/>
      <c r="I105" s="6"/>
      <c r="J105" s="6"/>
      <c r="K105" s="18"/>
      <c r="L105" s="18"/>
      <c r="M105" s="6"/>
    </row>
    <row r="106" ht="12.75" customHeight="1">
      <c r="D106" s="38"/>
      <c r="E106" s="6"/>
      <c r="F106" s="6"/>
      <c r="G106" s="6"/>
      <c r="H106" s="6"/>
      <c r="I106" s="6"/>
      <c r="J106" s="6"/>
      <c r="K106" s="18"/>
      <c r="L106" s="18"/>
      <c r="M106" s="6"/>
    </row>
    <row r="107" ht="12.75" customHeight="1">
      <c r="D107" s="38"/>
      <c r="E107" s="6"/>
      <c r="F107" s="6"/>
      <c r="G107" s="6"/>
      <c r="H107" s="6"/>
      <c r="I107" s="6"/>
      <c r="J107" s="6"/>
      <c r="K107" s="18"/>
      <c r="L107" s="18"/>
      <c r="M107" s="6"/>
    </row>
    <row r="108" ht="12.75" customHeight="1">
      <c r="D108" s="38"/>
      <c r="E108" s="6"/>
      <c r="F108" s="6"/>
      <c r="G108" s="6"/>
      <c r="H108" s="6"/>
      <c r="I108" s="6"/>
      <c r="J108" s="6"/>
      <c r="K108" s="18"/>
      <c r="L108" s="18"/>
      <c r="M108" s="6"/>
    </row>
    <row r="109" ht="12.75" customHeight="1">
      <c r="D109" s="38"/>
      <c r="E109" s="6"/>
      <c r="F109" s="6"/>
      <c r="G109" s="6"/>
      <c r="H109" s="6"/>
      <c r="I109" s="6"/>
      <c r="J109" s="6"/>
      <c r="K109" s="18"/>
      <c r="L109" s="18"/>
      <c r="M109" s="6"/>
    </row>
    <row r="110" ht="12.75" customHeight="1">
      <c r="D110" s="38"/>
      <c r="E110" s="6"/>
      <c r="F110" s="6"/>
      <c r="G110" s="6"/>
      <c r="H110" s="6"/>
      <c r="I110" s="6"/>
      <c r="J110" s="6"/>
      <c r="K110" s="18"/>
      <c r="L110" s="18"/>
      <c r="M110" s="6"/>
    </row>
    <row r="111" ht="12.75" customHeight="1">
      <c r="D111" s="38"/>
      <c r="E111" s="6"/>
      <c r="F111" s="6"/>
      <c r="G111" s="6"/>
      <c r="H111" s="6"/>
      <c r="I111" s="6"/>
      <c r="J111" s="6"/>
      <c r="K111" s="18"/>
      <c r="L111" s="18"/>
      <c r="M111" s="6"/>
    </row>
    <row r="112" ht="12.75" customHeight="1">
      <c r="D112" s="38"/>
      <c r="E112" s="6"/>
      <c r="F112" s="6"/>
      <c r="G112" s="6"/>
      <c r="H112" s="6"/>
      <c r="I112" s="6"/>
      <c r="J112" s="6"/>
      <c r="K112" s="18"/>
      <c r="L112" s="18"/>
      <c r="M112" s="6"/>
    </row>
    <row r="113" ht="12.75" customHeight="1">
      <c r="D113" s="38"/>
      <c r="E113" s="6"/>
      <c r="F113" s="6"/>
      <c r="G113" s="6"/>
      <c r="H113" s="6"/>
      <c r="I113" s="6"/>
      <c r="J113" s="6"/>
      <c r="K113" s="18"/>
      <c r="L113" s="18"/>
      <c r="M113" s="6"/>
    </row>
    <row r="114" ht="12.75" customHeight="1">
      <c r="D114" s="38"/>
      <c r="E114" s="6"/>
      <c r="F114" s="6"/>
      <c r="G114" s="6"/>
      <c r="H114" s="6"/>
      <c r="I114" s="6"/>
      <c r="J114" s="6"/>
      <c r="K114" s="18"/>
      <c r="L114" s="18"/>
      <c r="M114" s="6"/>
    </row>
    <row r="115" ht="12.75" customHeight="1">
      <c r="D115" s="38"/>
      <c r="E115" s="6"/>
      <c r="F115" s="6"/>
      <c r="G115" s="6"/>
      <c r="H115" s="6"/>
      <c r="I115" s="6"/>
      <c r="J115" s="6"/>
      <c r="K115" s="18"/>
      <c r="L115" s="18"/>
      <c r="M115" s="6"/>
    </row>
    <row r="116" ht="12.75" customHeight="1">
      <c r="D116" s="38"/>
      <c r="E116" s="6"/>
      <c r="F116" s="6"/>
      <c r="G116" s="6"/>
      <c r="H116" s="6"/>
      <c r="I116" s="6"/>
      <c r="J116" s="6"/>
      <c r="K116" s="18"/>
      <c r="L116" s="18"/>
      <c r="M116" s="6"/>
    </row>
    <row r="117" ht="12.75" customHeight="1">
      <c r="D117" s="38"/>
      <c r="E117" s="6"/>
      <c r="F117" s="6"/>
      <c r="G117" s="6"/>
      <c r="H117" s="6"/>
      <c r="I117" s="6"/>
      <c r="J117" s="6"/>
      <c r="K117" s="18"/>
      <c r="L117" s="18"/>
      <c r="M117" s="6"/>
    </row>
    <row r="118" ht="12.75" customHeight="1">
      <c r="D118" s="38"/>
      <c r="E118" s="6"/>
      <c r="F118" s="6"/>
      <c r="G118" s="6"/>
      <c r="H118" s="6"/>
      <c r="I118" s="6"/>
      <c r="J118" s="6"/>
      <c r="K118" s="18"/>
      <c r="L118" s="18"/>
      <c r="M118" s="6"/>
    </row>
    <row r="119" ht="12.75" customHeight="1">
      <c r="D119" s="38"/>
      <c r="E119" s="6"/>
      <c r="F119" s="6"/>
      <c r="G119" s="6"/>
      <c r="H119" s="6"/>
      <c r="I119" s="6"/>
      <c r="J119" s="6"/>
      <c r="K119" s="18"/>
      <c r="L119" s="18"/>
      <c r="M119" s="6"/>
    </row>
    <row r="120" ht="12.75" customHeight="1">
      <c r="D120" s="38"/>
      <c r="E120" s="6"/>
      <c r="F120" s="6"/>
      <c r="G120" s="6"/>
      <c r="H120" s="6"/>
      <c r="I120" s="6"/>
      <c r="J120" s="6"/>
      <c r="K120" s="18"/>
      <c r="L120" s="18"/>
      <c r="M120" s="6"/>
    </row>
    <row r="121" ht="12.75" customHeight="1">
      <c r="D121" s="38"/>
      <c r="E121" s="6"/>
      <c r="F121" s="6"/>
      <c r="G121" s="6"/>
      <c r="H121" s="6"/>
      <c r="I121" s="6"/>
      <c r="J121" s="6"/>
      <c r="K121" s="18"/>
      <c r="L121" s="18"/>
      <c r="M121" s="6"/>
    </row>
    <row r="122" ht="12.75" customHeight="1">
      <c r="D122" s="38"/>
      <c r="E122" s="6"/>
      <c r="F122" s="6"/>
      <c r="G122" s="6"/>
      <c r="H122" s="6"/>
      <c r="I122" s="6"/>
      <c r="J122" s="6"/>
      <c r="K122" s="18"/>
      <c r="L122" s="18"/>
      <c r="M122" s="6"/>
    </row>
    <row r="123" ht="12.75" customHeight="1">
      <c r="D123" s="38"/>
      <c r="E123" s="6"/>
      <c r="F123" s="6"/>
      <c r="G123" s="6"/>
      <c r="H123" s="6"/>
      <c r="I123" s="6"/>
      <c r="J123" s="6"/>
      <c r="K123" s="18"/>
      <c r="L123" s="18"/>
      <c r="M123" s="6"/>
    </row>
    <row r="124" ht="12.75" customHeight="1">
      <c r="D124" s="38"/>
      <c r="E124" s="6"/>
      <c r="F124" s="6"/>
      <c r="G124" s="6"/>
      <c r="H124" s="6"/>
      <c r="I124" s="6"/>
      <c r="J124" s="6"/>
      <c r="K124" s="18"/>
      <c r="L124" s="18"/>
      <c r="M124" s="6"/>
    </row>
    <row r="125" ht="12.75" customHeight="1">
      <c r="D125" s="38"/>
      <c r="E125" s="6"/>
      <c r="F125" s="6"/>
      <c r="G125" s="6"/>
      <c r="H125" s="6"/>
      <c r="I125" s="6"/>
      <c r="J125" s="6"/>
      <c r="K125" s="18"/>
      <c r="L125" s="18"/>
      <c r="M125" s="6"/>
    </row>
    <row r="126" ht="12.75" customHeight="1">
      <c r="D126" s="38"/>
      <c r="E126" s="6"/>
      <c r="F126" s="6"/>
      <c r="G126" s="6"/>
      <c r="H126" s="6"/>
      <c r="I126" s="6"/>
      <c r="J126" s="6"/>
      <c r="K126" s="18"/>
      <c r="L126" s="18"/>
      <c r="M126" s="6"/>
    </row>
    <row r="127" ht="12.75" customHeight="1">
      <c r="D127" s="38"/>
      <c r="E127" s="6"/>
      <c r="F127" s="6"/>
      <c r="G127" s="6"/>
      <c r="H127" s="6"/>
      <c r="I127" s="6"/>
      <c r="J127" s="6"/>
      <c r="K127" s="18"/>
      <c r="L127" s="18"/>
      <c r="M127" s="6"/>
    </row>
    <row r="128" ht="12.75" customHeight="1">
      <c r="D128" s="38"/>
      <c r="E128" s="6"/>
      <c r="F128" s="6"/>
      <c r="G128" s="6"/>
      <c r="H128" s="6"/>
      <c r="I128" s="6"/>
      <c r="J128" s="6"/>
      <c r="K128" s="18"/>
      <c r="L128" s="18"/>
      <c r="M128" s="6"/>
    </row>
    <row r="129" ht="12.75" customHeight="1">
      <c r="D129" s="38"/>
      <c r="E129" s="6"/>
      <c r="F129" s="6"/>
      <c r="G129" s="6"/>
      <c r="H129" s="6"/>
      <c r="I129" s="6"/>
      <c r="J129" s="6"/>
      <c r="K129" s="18"/>
      <c r="L129" s="18"/>
      <c r="M129" s="6"/>
    </row>
    <row r="130" ht="12.75" customHeight="1">
      <c r="D130" s="38"/>
      <c r="E130" s="6"/>
      <c r="F130" s="6"/>
      <c r="G130" s="6"/>
      <c r="H130" s="6"/>
      <c r="I130" s="6"/>
      <c r="J130" s="6"/>
      <c r="K130" s="18"/>
      <c r="L130" s="18"/>
      <c r="M130" s="6"/>
    </row>
    <row r="131" ht="12.75" customHeight="1">
      <c r="D131" s="38"/>
      <c r="E131" s="6"/>
      <c r="F131" s="6"/>
      <c r="G131" s="6"/>
      <c r="H131" s="6"/>
      <c r="I131" s="6"/>
      <c r="J131" s="6"/>
      <c r="K131" s="18"/>
      <c r="L131" s="18"/>
      <c r="M131" s="6"/>
    </row>
    <row r="132" ht="12.75" customHeight="1">
      <c r="D132" s="38"/>
      <c r="E132" s="6"/>
      <c r="F132" s="6"/>
      <c r="G132" s="6"/>
      <c r="H132" s="6"/>
      <c r="I132" s="6"/>
      <c r="J132" s="6"/>
      <c r="K132" s="18"/>
      <c r="L132" s="18"/>
      <c r="M132" s="6"/>
    </row>
    <row r="133" ht="12.75" customHeight="1">
      <c r="D133" s="38"/>
      <c r="E133" s="6"/>
      <c r="F133" s="6"/>
      <c r="G133" s="6"/>
      <c r="H133" s="6"/>
      <c r="I133" s="6"/>
      <c r="J133" s="6"/>
      <c r="K133" s="18"/>
      <c r="L133" s="18"/>
      <c r="M133" s="6"/>
    </row>
    <row r="134" ht="12.75" customHeight="1">
      <c r="D134" s="38"/>
      <c r="E134" s="6"/>
      <c r="F134" s="6"/>
      <c r="G134" s="6"/>
      <c r="H134" s="6"/>
      <c r="I134" s="6"/>
      <c r="J134" s="6"/>
      <c r="K134" s="18"/>
      <c r="L134" s="18"/>
      <c r="M134" s="6"/>
    </row>
    <row r="135" ht="12.75" customHeight="1">
      <c r="D135" s="38"/>
      <c r="E135" s="6"/>
      <c r="F135" s="6"/>
      <c r="G135" s="6"/>
      <c r="H135" s="6"/>
      <c r="I135" s="6"/>
      <c r="J135" s="6"/>
      <c r="K135" s="18"/>
      <c r="L135" s="18"/>
      <c r="M135" s="6"/>
    </row>
    <row r="136" ht="12.75" customHeight="1">
      <c r="D136" s="38"/>
      <c r="E136" s="6"/>
      <c r="F136" s="6"/>
      <c r="G136" s="6"/>
      <c r="H136" s="6"/>
      <c r="I136" s="6"/>
      <c r="J136" s="6"/>
      <c r="K136" s="18"/>
      <c r="L136" s="18"/>
      <c r="M136" s="6"/>
    </row>
    <row r="137" ht="12.75" customHeight="1">
      <c r="D137" s="38"/>
      <c r="E137" s="6"/>
      <c r="F137" s="6"/>
      <c r="G137" s="6"/>
      <c r="H137" s="6"/>
      <c r="I137" s="6"/>
      <c r="J137" s="6"/>
      <c r="K137" s="18"/>
      <c r="L137" s="18"/>
      <c r="M137" s="6"/>
    </row>
    <row r="138" ht="12.75" customHeight="1">
      <c r="D138" s="38"/>
      <c r="E138" s="6"/>
      <c r="F138" s="6"/>
      <c r="G138" s="6"/>
      <c r="H138" s="6"/>
      <c r="I138" s="6"/>
      <c r="J138" s="6"/>
      <c r="K138" s="18"/>
      <c r="L138" s="18"/>
      <c r="M138" s="6"/>
    </row>
    <row r="139" ht="12.75" customHeight="1">
      <c r="D139" s="38"/>
      <c r="E139" s="6"/>
      <c r="F139" s="6"/>
      <c r="G139" s="6"/>
      <c r="H139" s="6"/>
      <c r="I139" s="6"/>
      <c r="J139" s="6"/>
      <c r="K139" s="18"/>
      <c r="L139" s="18"/>
      <c r="M139" s="6"/>
    </row>
    <row r="140" ht="12.75" customHeight="1">
      <c r="D140" s="38"/>
      <c r="E140" s="6"/>
      <c r="F140" s="6"/>
      <c r="G140" s="6"/>
      <c r="H140" s="6"/>
      <c r="I140" s="6"/>
      <c r="J140" s="6"/>
      <c r="K140" s="18"/>
      <c r="L140" s="18"/>
      <c r="M140" s="6"/>
    </row>
    <row r="141" ht="12.75" customHeight="1">
      <c r="D141" s="38"/>
      <c r="E141" s="6"/>
      <c r="F141" s="6"/>
      <c r="G141" s="6"/>
      <c r="H141" s="6"/>
      <c r="I141" s="6"/>
      <c r="J141" s="6"/>
      <c r="K141" s="18"/>
      <c r="L141" s="18"/>
      <c r="M141" s="6"/>
    </row>
    <row r="142" ht="12.75" customHeight="1">
      <c r="D142" s="38"/>
      <c r="E142" s="6"/>
      <c r="F142" s="6"/>
      <c r="G142" s="6"/>
      <c r="H142" s="6"/>
      <c r="I142" s="6"/>
      <c r="J142" s="6"/>
      <c r="K142" s="18"/>
      <c r="L142" s="18"/>
      <c r="M142" s="6"/>
    </row>
    <row r="143" ht="12.75" customHeight="1">
      <c r="D143" s="38"/>
      <c r="E143" s="6"/>
      <c r="F143" s="6"/>
      <c r="G143" s="6"/>
      <c r="H143" s="6"/>
      <c r="I143" s="6"/>
      <c r="J143" s="6"/>
      <c r="K143" s="18"/>
      <c r="L143" s="18"/>
      <c r="M143" s="6"/>
    </row>
    <row r="144" ht="12.75" customHeight="1">
      <c r="D144" s="38"/>
      <c r="E144" s="6"/>
      <c r="F144" s="6"/>
      <c r="G144" s="6"/>
      <c r="H144" s="6"/>
      <c r="I144" s="6"/>
      <c r="J144" s="6"/>
      <c r="K144" s="18"/>
      <c r="L144" s="18"/>
      <c r="M144" s="6"/>
    </row>
    <row r="145" ht="12.75" customHeight="1">
      <c r="D145" s="38"/>
      <c r="E145" s="6"/>
      <c r="F145" s="6"/>
      <c r="G145" s="6"/>
      <c r="H145" s="6"/>
      <c r="I145" s="6"/>
      <c r="J145" s="6"/>
      <c r="K145" s="18"/>
      <c r="L145" s="18"/>
      <c r="M145" s="6"/>
    </row>
    <row r="146" ht="12.75" customHeight="1">
      <c r="D146" s="38"/>
      <c r="E146" s="6"/>
      <c r="F146" s="6"/>
      <c r="G146" s="6"/>
      <c r="H146" s="6"/>
      <c r="I146" s="6"/>
      <c r="J146" s="6"/>
      <c r="K146" s="18"/>
      <c r="L146" s="18"/>
      <c r="M146" s="6"/>
    </row>
    <row r="147" ht="12.75" customHeight="1">
      <c r="D147" s="38"/>
      <c r="E147" s="6"/>
      <c r="F147" s="6"/>
      <c r="G147" s="6"/>
      <c r="H147" s="6"/>
      <c r="I147" s="6"/>
      <c r="J147" s="6"/>
      <c r="K147" s="18"/>
      <c r="L147" s="18"/>
      <c r="M147" s="6"/>
    </row>
    <row r="148" ht="12.75" customHeight="1">
      <c r="D148" s="38"/>
      <c r="E148" s="6"/>
      <c r="F148" s="6"/>
      <c r="G148" s="6"/>
      <c r="H148" s="6"/>
      <c r="I148" s="6"/>
      <c r="J148" s="6"/>
      <c r="K148" s="18"/>
      <c r="L148" s="18"/>
      <c r="M148" s="6"/>
    </row>
    <row r="149" ht="12.75" customHeight="1">
      <c r="D149" s="38"/>
      <c r="E149" s="6"/>
      <c r="F149" s="6"/>
      <c r="G149" s="6"/>
      <c r="H149" s="6"/>
      <c r="I149" s="6"/>
      <c r="J149" s="6"/>
      <c r="K149" s="18"/>
      <c r="L149" s="18"/>
      <c r="M149" s="6"/>
    </row>
    <row r="150" ht="12.75" customHeight="1">
      <c r="D150" s="38"/>
      <c r="E150" s="6"/>
      <c r="F150" s="6"/>
      <c r="G150" s="6"/>
      <c r="H150" s="6"/>
      <c r="I150" s="6"/>
      <c r="J150" s="6"/>
      <c r="K150" s="18"/>
      <c r="L150" s="18"/>
      <c r="M150" s="6"/>
    </row>
    <row r="151" ht="12.75" customHeight="1">
      <c r="D151" s="38"/>
      <c r="E151" s="6"/>
      <c r="F151" s="6"/>
      <c r="G151" s="6"/>
      <c r="H151" s="6"/>
      <c r="I151" s="6"/>
      <c r="J151" s="6"/>
      <c r="K151" s="18"/>
      <c r="L151" s="18"/>
      <c r="M151" s="6"/>
    </row>
    <row r="152" ht="12.75" customHeight="1">
      <c r="D152" s="38"/>
      <c r="E152" s="6"/>
      <c r="F152" s="6"/>
      <c r="G152" s="6"/>
      <c r="H152" s="6"/>
      <c r="I152" s="6"/>
      <c r="J152" s="6"/>
      <c r="K152" s="18"/>
      <c r="L152" s="18"/>
      <c r="M152" s="6"/>
    </row>
    <row r="153" ht="12.75" customHeight="1">
      <c r="D153" s="38"/>
      <c r="E153" s="6"/>
      <c r="F153" s="6"/>
      <c r="G153" s="6"/>
      <c r="H153" s="6"/>
      <c r="I153" s="6"/>
      <c r="J153" s="6"/>
      <c r="K153" s="18"/>
      <c r="L153" s="18"/>
      <c r="M153" s="6"/>
    </row>
    <row r="154" ht="12.75" customHeight="1">
      <c r="D154" s="38"/>
      <c r="E154" s="6"/>
      <c r="F154" s="6"/>
      <c r="G154" s="6"/>
      <c r="H154" s="6"/>
      <c r="I154" s="6"/>
      <c r="J154" s="6"/>
      <c r="K154" s="18"/>
      <c r="L154" s="18"/>
      <c r="M154" s="6"/>
    </row>
    <row r="155" ht="12.75" customHeight="1">
      <c r="D155" s="38"/>
      <c r="E155" s="6"/>
      <c r="F155" s="6"/>
      <c r="G155" s="6"/>
      <c r="H155" s="6"/>
      <c r="I155" s="6"/>
      <c r="J155" s="6"/>
      <c r="K155" s="18"/>
      <c r="L155" s="18"/>
      <c r="M155" s="6"/>
    </row>
    <row r="156" ht="12.75" customHeight="1">
      <c r="D156" s="38"/>
      <c r="E156" s="6"/>
      <c r="F156" s="6"/>
      <c r="G156" s="6"/>
      <c r="H156" s="6"/>
      <c r="I156" s="6"/>
      <c r="J156" s="6"/>
      <c r="K156" s="18"/>
      <c r="L156" s="18"/>
      <c r="M156" s="6"/>
    </row>
    <row r="157" ht="12.75" customHeight="1">
      <c r="D157" s="38"/>
      <c r="E157" s="6"/>
      <c r="F157" s="6"/>
      <c r="G157" s="6"/>
      <c r="H157" s="6"/>
      <c r="I157" s="6"/>
      <c r="J157" s="6"/>
      <c r="K157" s="18"/>
      <c r="L157" s="18"/>
      <c r="M157" s="6"/>
    </row>
    <row r="158" ht="12.75" customHeight="1">
      <c r="D158" s="38"/>
      <c r="E158" s="6"/>
      <c r="F158" s="6"/>
      <c r="G158" s="6"/>
      <c r="H158" s="6"/>
      <c r="I158" s="6"/>
      <c r="J158" s="6"/>
      <c r="K158" s="18"/>
      <c r="L158" s="18"/>
      <c r="M158" s="6"/>
    </row>
    <row r="159" ht="12.75" customHeight="1">
      <c r="D159" s="38"/>
      <c r="E159" s="6"/>
      <c r="F159" s="6"/>
      <c r="G159" s="6"/>
      <c r="H159" s="6"/>
      <c r="I159" s="6"/>
      <c r="J159" s="6"/>
      <c r="K159" s="18"/>
      <c r="L159" s="18"/>
      <c r="M159" s="6"/>
    </row>
    <row r="160" ht="12.75" customHeight="1">
      <c r="D160" s="38"/>
      <c r="E160" s="6"/>
      <c r="F160" s="6"/>
      <c r="G160" s="6"/>
      <c r="H160" s="6"/>
      <c r="I160" s="6"/>
      <c r="J160" s="6"/>
      <c r="K160" s="18"/>
      <c r="L160" s="18"/>
      <c r="M160" s="6"/>
    </row>
    <row r="161" ht="12.75" customHeight="1">
      <c r="D161" s="38"/>
      <c r="E161" s="6"/>
      <c r="F161" s="6"/>
      <c r="G161" s="6"/>
      <c r="H161" s="6"/>
      <c r="I161" s="6"/>
      <c r="J161" s="6"/>
      <c r="K161" s="18"/>
      <c r="L161" s="18"/>
      <c r="M161" s="6"/>
    </row>
    <row r="162" ht="12.75" customHeight="1">
      <c r="D162" s="38"/>
      <c r="E162" s="6"/>
      <c r="F162" s="6"/>
      <c r="G162" s="6"/>
      <c r="H162" s="6"/>
      <c r="I162" s="6"/>
      <c r="J162" s="6"/>
      <c r="K162" s="18"/>
      <c r="L162" s="18"/>
      <c r="M162" s="6"/>
    </row>
    <row r="163" ht="12.75" customHeight="1">
      <c r="D163" s="38"/>
      <c r="E163" s="6"/>
      <c r="F163" s="6"/>
      <c r="G163" s="6"/>
      <c r="H163" s="6"/>
      <c r="I163" s="6"/>
      <c r="J163" s="6"/>
      <c r="K163" s="18"/>
      <c r="L163" s="18"/>
      <c r="M163" s="6"/>
    </row>
    <row r="164" ht="12.75" customHeight="1">
      <c r="D164" s="38"/>
      <c r="E164" s="6"/>
      <c r="F164" s="6"/>
      <c r="G164" s="6"/>
      <c r="H164" s="6"/>
      <c r="I164" s="6"/>
      <c r="J164" s="6"/>
      <c r="K164" s="18"/>
      <c r="L164" s="18"/>
      <c r="M164" s="6"/>
    </row>
    <row r="165" ht="12.75" customHeight="1">
      <c r="D165" s="38"/>
      <c r="E165" s="6"/>
      <c r="F165" s="6"/>
      <c r="G165" s="6"/>
      <c r="H165" s="6"/>
      <c r="I165" s="6"/>
      <c r="J165" s="6"/>
      <c r="K165" s="18"/>
      <c r="L165" s="18"/>
      <c r="M165" s="6"/>
    </row>
    <row r="166" ht="12.75" customHeight="1">
      <c r="D166" s="38"/>
      <c r="E166" s="6"/>
      <c r="F166" s="6"/>
      <c r="G166" s="6"/>
      <c r="H166" s="6"/>
      <c r="I166" s="6"/>
      <c r="J166" s="6"/>
      <c r="K166" s="18"/>
      <c r="L166" s="18"/>
      <c r="M166" s="6"/>
    </row>
    <row r="167" ht="12.75" customHeight="1">
      <c r="D167" s="38"/>
      <c r="E167" s="6"/>
      <c r="F167" s="6"/>
      <c r="G167" s="6"/>
      <c r="H167" s="6"/>
      <c r="I167" s="6"/>
      <c r="J167" s="6"/>
      <c r="K167" s="18"/>
      <c r="L167" s="18"/>
      <c r="M167" s="6"/>
    </row>
    <row r="168" ht="12.75" customHeight="1">
      <c r="D168" s="38"/>
      <c r="E168" s="6"/>
      <c r="F168" s="6"/>
      <c r="G168" s="6"/>
      <c r="H168" s="6"/>
      <c r="I168" s="6"/>
      <c r="J168" s="6"/>
      <c r="K168" s="18"/>
      <c r="L168" s="18"/>
      <c r="M168" s="6"/>
    </row>
    <row r="169" ht="12.75" customHeight="1">
      <c r="D169" s="38"/>
      <c r="E169" s="6"/>
      <c r="F169" s="6"/>
      <c r="G169" s="6"/>
      <c r="H169" s="6"/>
      <c r="I169" s="6"/>
      <c r="J169" s="6"/>
      <c r="K169" s="18"/>
      <c r="L169" s="18"/>
      <c r="M169" s="6"/>
    </row>
    <row r="170" ht="12.75" customHeight="1">
      <c r="D170" s="38"/>
      <c r="E170" s="6"/>
      <c r="F170" s="6"/>
      <c r="G170" s="6"/>
      <c r="H170" s="6"/>
      <c r="I170" s="6"/>
      <c r="J170" s="6"/>
      <c r="K170" s="18"/>
      <c r="L170" s="18"/>
      <c r="M170" s="6"/>
    </row>
    <row r="171" ht="12.75" customHeight="1">
      <c r="D171" s="38"/>
      <c r="E171" s="6"/>
      <c r="F171" s="6"/>
      <c r="G171" s="6"/>
      <c r="H171" s="6"/>
      <c r="I171" s="6"/>
      <c r="J171" s="6"/>
      <c r="K171" s="18"/>
      <c r="L171" s="18"/>
      <c r="M171" s="6"/>
    </row>
    <row r="172" ht="12.75" customHeight="1">
      <c r="D172" s="38"/>
      <c r="E172" s="6"/>
      <c r="F172" s="6"/>
      <c r="G172" s="6"/>
      <c r="H172" s="6"/>
      <c r="I172" s="6"/>
      <c r="J172" s="6"/>
      <c r="K172" s="18"/>
      <c r="L172" s="18"/>
      <c r="M172" s="6"/>
    </row>
    <row r="173" ht="12.75" customHeight="1">
      <c r="D173" s="38"/>
      <c r="E173" s="6"/>
      <c r="F173" s="6"/>
      <c r="G173" s="6"/>
      <c r="H173" s="6"/>
      <c r="I173" s="6"/>
      <c r="J173" s="6"/>
      <c r="K173" s="18"/>
      <c r="L173" s="18"/>
      <c r="M173" s="6"/>
    </row>
    <row r="174" ht="12.75" customHeight="1">
      <c r="D174" s="38"/>
      <c r="E174" s="6"/>
      <c r="F174" s="6"/>
      <c r="G174" s="6"/>
      <c r="H174" s="6"/>
      <c r="I174" s="6"/>
      <c r="J174" s="6"/>
      <c r="K174" s="18"/>
      <c r="L174" s="18"/>
      <c r="M174" s="6"/>
    </row>
    <row r="175" ht="12.75" customHeight="1">
      <c r="D175" s="38"/>
      <c r="E175" s="6"/>
      <c r="F175" s="6"/>
      <c r="G175" s="6"/>
      <c r="H175" s="6"/>
      <c r="I175" s="6"/>
      <c r="J175" s="6"/>
      <c r="K175" s="18"/>
      <c r="L175" s="18"/>
      <c r="M175" s="6"/>
    </row>
    <row r="176" ht="12.75" customHeight="1">
      <c r="D176" s="38"/>
      <c r="E176" s="6"/>
      <c r="F176" s="6"/>
      <c r="G176" s="6"/>
      <c r="H176" s="6"/>
      <c r="I176" s="6"/>
      <c r="J176" s="6"/>
      <c r="K176" s="18"/>
      <c r="L176" s="18"/>
      <c r="M176" s="6"/>
    </row>
    <row r="177" ht="12.75" customHeight="1">
      <c r="D177" s="38"/>
      <c r="E177" s="6"/>
      <c r="F177" s="6"/>
      <c r="G177" s="6"/>
      <c r="H177" s="6"/>
      <c r="I177" s="6"/>
      <c r="J177" s="6"/>
      <c r="K177" s="18"/>
      <c r="L177" s="18"/>
      <c r="M177" s="6"/>
    </row>
    <row r="178" ht="12.75" customHeight="1">
      <c r="D178" s="38"/>
      <c r="E178" s="6"/>
      <c r="F178" s="6"/>
      <c r="G178" s="6"/>
      <c r="H178" s="6"/>
      <c r="I178" s="6"/>
      <c r="J178" s="6"/>
      <c r="K178" s="18"/>
      <c r="L178" s="18"/>
      <c r="M178" s="6"/>
    </row>
    <row r="179" ht="12.75" customHeight="1">
      <c r="D179" s="38"/>
      <c r="E179" s="6"/>
      <c r="F179" s="6"/>
      <c r="G179" s="6"/>
      <c r="H179" s="6"/>
      <c r="I179" s="6"/>
      <c r="J179" s="6"/>
      <c r="K179" s="18"/>
      <c r="L179" s="18"/>
      <c r="M179" s="6"/>
    </row>
    <row r="180" ht="12.75" customHeight="1">
      <c r="D180" s="38"/>
      <c r="E180" s="6"/>
      <c r="F180" s="6"/>
      <c r="G180" s="6"/>
      <c r="H180" s="6"/>
      <c r="I180" s="6"/>
      <c r="J180" s="6"/>
      <c r="K180" s="18"/>
      <c r="L180" s="18"/>
      <c r="M180" s="6"/>
    </row>
    <row r="181" ht="12.75" customHeight="1">
      <c r="D181" s="38"/>
      <c r="E181" s="6"/>
      <c r="F181" s="6"/>
      <c r="G181" s="6"/>
      <c r="H181" s="6"/>
      <c r="I181" s="6"/>
      <c r="J181" s="6"/>
      <c r="K181" s="18"/>
      <c r="L181" s="18"/>
      <c r="M181" s="6"/>
    </row>
    <row r="182" ht="12.75" customHeight="1">
      <c r="D182" s="38"/>
      <c r="E182" s="6"/>
      <c r="F182" s="6"/>
      <c r="G182" s="6"/>
      <c r="H182" s="6"/>
      <c r="I182" s="6"/>
      <c r="J182" s="6"/>
      <c r="K182" s="18"/>
      <c r="L182" s="18"/>
      <c r="M182" s="6"/>
    </row>
    <row r="183" ht="12.75" customHeight="1">
      <c r="D183" s="38"/>
      <c r="E183" s="6"/>
      <c r="F183" s="6"/>
      <c r="G183" s="6"/>
      <c r="H183" s="6"/>
      <c r="I183" s="6"/>
      <c r="J183" s="6"/>
      <c r="K183" s="18"/>
      <c r="L183" s="18"/>
      <c r="M183" s="6"/>
    </row>
    <row r="184" ht="12.75" customHeight="1">
      <c r="D184" s="38"/>
      <c r="E184" s="6"/>
      <c r="F184" s="6"/>
      <c r="G184" s="6"/>
      <c r="H184" s="6"/>
      <c r="I184" s="6"/>
      <c r="J184" s="6"/>
      <c r="K184" s="18"/>
      <c r="L184" s="18"/>
      <c r="M184" s="6"/>
    </row>
    <row r="185" ht="12.75" customHeight="1">
      <c r="D185" s="38"/>
      <c r="E185" s="6"/>
      <c r="F185" s="6"/>
      <c r="G185" s="6"/>
      <c r="H185" s="6"/>
      <c r="I185" s="6"/>
      <c r="J185" s="6"/>
      <c r="K185" s="18"/>
      <c r="L185" s="18"/>
      <c r="M185" s="6"/>
    </row>
    <row r="186" ht="12.75" customHeight="1">
      <c r="D186" s="38"/>
      <c r="E186" s="6"/>
      <c r="F186" s="6"/>
      <c r="G186" s="6"/>
      <c r="H186" s="6"/>
      <c r="I186" s="6"/>
      <c r="J186" s="6"/>
      <c r="K186" s="18"/>
      <c r="L186" s="18"/>
      <c r="M186" s="6"/>
    </row>
    <row r="187" ht="12.75" customHeight="1">
      <c r="D187" s="38"/>
      <c r="E187" s="6"/>
      <c r="F187" s="6"/>
      <c r="G187" s="6"/>
      <c r="H187" s="6"/>
      <c r="I187" s="6"/>
      <c r="J187" s="6"/>
      <c r="K187" s="18"/>
      <c r="L187" s="18"/>
      <c r="M187" s="6"/>
    </row>
    <row r="188" ht="12.75" customHeight="1">
      <c r="D188" s="38"/>
      <c r="E188" s="6"/>
      <c r="F188" s="6"/>
      <c r="G188" s="6"/>
      <c r="H188" s="6"/>
      <c r="I188" s="6"/>
      <c r="J188" s="6"/>
      <c r="K188" s="18"/>
      <c r="L188" s="18"/>
      <c r="M188" s="6"/>
    </row>
    <row r="189" ht="12.75" customHeight="1">
      <c r="D189" s="38"/>
      <c r="E189" s="6"/>
      <c r="F189" s="6"/>
      <c r="G189" s="6"/>
      <c r="H189" s="6"/>
      <c r="I189" s="6"/>
      <c r="J189" s="6"/>
      <c r="K189" s="18"/>
      <c r="L189" s="18"/>
      <c r="M189" s="6"/>
    </row>
    <row r="190" ht="12.75" customHeight="1">
      <c r="D190" s="38"/>
      <c r="E190" s="6"/>
      <c r="F190" s="6"/>
      <c r="G190" s="6"/>
      <c r="H190" s="6"/>
      <c r="I190" s="6"/>
      <c r="J190" s="6"/>
      <c r="K190" s="18"/>
      <c r="L190" s="18"/>
      <c r="M190" s="6"/>
    </row>
    <row r="191" ht="12.75" customHeight="1">
      <c r="D191" s="38"/>
      <c r="E191" s="6"/>
      <c r="F191" s="6"/>
      <c r="G191" s="6"/>
      <c r="H191" s="6"/>
      <c r="I191" s="6"/>
      <c r="J191" s="6"/>
      <c r="K191" s="18"/>
      <c r="L191" s="18"/>
      <c r="M191" s="6"/>
    </row>
    <row r="192" ht="12.75" customHeight="1">
      <c r="D192" s="38"/>
      <c r="E192" s="6"/>
      <c r="F192" s="6"/>
      <c r="G192" s="6"/>
      <c r="H192" s="6"/>
      <c r="I192" s="6"/>
      <c r="J192" s="6"/>
      <c r="K192" s="18"/>
      <c r="L192" s="18"/>
      <c r="M192" s="6"/>
    </row>
    <row r="193" ht="12.75" customHeight="1">
      <c r="D193" s="38"/>
      <c r="E193" s="6"/>
      <c r="F193" s="6"/>
      <c r="G193" s="6"/>
      <c r="H193" s="6"/>
      <c r="I193" s="6"/>
      <c r="J193" s="6"/>
      <c r="K193" s="18"/>
      <c r="L193" s="18"/>
      <c r="M193" s="6"/>
    </row>
    <row r="194" ht="12.75" customHeight="1">
      <c r="D194" s="38"/>
      <c r="E194" s="6"/>
      <c r="F194" s="6"/>
      <c r="G194" s="6"/>
      <c r="H194" s="6"/>
      <c r="I194" s="6"/>
      <c r="J194" s="6"/>
      <c r="K194" s="18"/>
      <c r="L194" s="18"/>
      <c r="M194" s="6"/>
    </row>
    <row r="195" ht="12.75" customHeight="1">
      <c r="D195" s="38"/>
      <c r="E195" s="6"/>
      <c r="F195" s="6"/>
      <c r="G195" s="6"/>
      <c r="H195" s="6"/>
      <c r="I195" s="6"/>
      <c r="J195" s="6"/>
      <c r="K195" s="18"/>
      <c r="L195" s="18"/>
      <c r="M195" s="6"/>
    </row>
    <row r="196" ht="12.75" customHeight="1">
      <c r="D196" s="38"/>
      <c r="E196" s="6"/>
      <c r="F196" s="6"/>
      <c r="G196" s="6"/>
      <c r="H196" s="6"/>
      <c r="I196" s="6"/>
      <c r="J196" s="6"/>
      <c r="K196" s="18"/>
      <c r="L196" s="18"/>
      <c r="M196" s="6"/>
    </row>
    <row r="197" ht="12.75" customHeight="1">
      <c r="D197" s="38"/>
      <c r="E197" s="6"/>
      <c r="F197" s="6"/>
      <c r="G197" s="6"/>
      <c r="H197" s="6"/>
      <c r="I197" s="6"/>
      <c r="J197" s="6"/>
      <c r="K197" s="18"/>
      <c r="L197" s="18"/>
      <c r="M197" s="6"/>
    </row>
    <row r="198" ht="12.75" customHeight="1">
      <c r="D198" s="38"/>
      <c r="E198" s="6"/>
      <c r="F198" s="6"/>
      <c r="G198" s="6"/>
      <c r="H198" s="6"/>
      <c r="I198" s="6"/>
      <c r="J198" s="6"/>
      <c r="K198" s="18"/>
      <c r="L198" s="18"/>
      <c r="M198" s="6"/>
    </row>
    <row r="199" ht="12.75" customHeight="1">
      <c r="D199" s="38"/>
      <c r="E199" s="6"/>
      <c r="F199" s="6"/>
      <c r="G199" s="6"/>
      <c r="H199" s="6"/>
      <c r="I199" s="6"/>
      <c r="J199" s="6"/>
      <c r="K199" s="18"/>
      <c r="L199" s="18"/>
      <c r="M199" s="6"/>
    </row>
    <row r="200" ht="12.75" customHeight="1">
      <c r="D200" s="38"/>
      <c r="E200" s="6"/>
      <c r="F200" s="6"/>
      <c r="G200" s="6"/>
      <c r="H200" s="6"/>
      <c r="I200" s="6"/>
      <c r="J200" s="6"/>
      <c r="K200" s="18"/>
      <c r="L200" s="18"/>
      <c r="M200" s="6"/>
    </row>
    <row r="201" ht="12.75" customHeight="1">
      <c r="D201" s="38"/>
      <c r="E201" s="6"/>
      <c r="F201" s="6"/>
      <c r="G201" s="6"/>
      <c r="H201" s="6"/>
      <c r="I201" s="6"/>
      <c r="J201" s="6"/>
      <c r="K201" s="18"/>
      <c r="L201" s="18"/>
      <c r="M201" s="6"/>
    </row>
    <row r="202" ht="12.75" customHeight="1">
      <c r="D202" s="38"/>
      <c r="E202" s="6"/>
      <c r="F202" s="6"/>
      <c r="G202" s="6"/>
      <c r="H202" s="6"/>
      <c r="I202" s="6"/>
      <c r="J202" s="6"/>
      <c r="K202" s="18"/>
      <c r="L202" s="18"/>
      <c r="M202" s="6"/>
    </row>
    <row r="203" ht="12.75" customHeight="1">
      <c r="D203" s="38"/>
      <c r="E203" s="6"/>
      <c r="F203" s="6"/>
      <c r="G203" s="6"/>
      <c r="H203" s="6"/>
      <c r="I203" s="6"/>
      <c r="J203" s="6"/>
      <c r="K203" s="18"/>
      <c r="L203" s="18"/>
      <c r="M203" s="6"/>
    </row>
    <row r="204" ht="12.75" customHeight="1">
      <c r="D204" s="38"/>
      <c r="E204" s="6"/>
      <c r="F204" s="6"/>
      <c r="G204" s="6"/>
      <c r="H204" s="6"/>
      <c r="I204" s="6"/>
      <c r="J204" s="6"/>
      <c r="K204" s="18"/>
      <c r="L204" s="18"/>
      <c r="M204" s="6"/>
    </row>
    <row r="205" ht="12.75" customHeight="1">
      <c r="D205" s="38"/>
      <c r="E205" s="6"/>
      <c r="F205" s="6"/>
      <c r="G205" s="6"/>
      <c r="H205" s="6"/>
      <c r="I205" s="6"/>
      <c r="J205" s="6"/>
      <c r="K205" s="18"/>
      <c r="L205" s="18"/>
      <c r="M205" s="6"/>
    </row>
    <row r="206" ht="12.75" customHeight="1">
      <c r="D206" s="38"/>
      <c r="E206" s="6"/>
      <c r="F206" s="6"/>
      <c r="G206" s="6"/>
      <c r="H206" s="6"/>
      <c r="I206" s="6"/>
      <c r="J206" s="6"/>
      <c r="K206" s="18"/>
      <c r="L206" s="18"/>
      <c r="M206" s="6"/>
    </row>
    <row r="207" ht="12.75" customHeight="1">
      <c r="D207" s="38"/>
      <c r="E207" s="6"/>
      <c r="F207" s="6"/>
      <c r="G207" s="6"/>
      <c r="H207" s="6"/>
      <c r="I207" s="6"/>
      <c r="J207" s="6"/>
      <c r="K207" s="18"/>
      <c r="L207" s="18"/>
      <c r="M207" s="6"/>
    </row>
    <row r="208" ht="12.75" customHeight="1">
      <c r="D208" s="38"/>
      <c r="E208" s="6"/>
      <c r="F208" s="6"/>
      <c r="G208" s="6"/>
      <c r="H208" s="6"/>
      <c r="I208" s="6"/>
      <c r="J208" s="6"/>
      <c r="K208" s="18"/>
      <c r="L208" s="18"/>
      <c r="M208" s="6"/>
    </row>
    <row r="209" ht="12.75" customHeight="1">
      <c r="D209" s="38"/>
      <c r="E209" s="6"/>
      <c r="F209" s="6"/>
      <c r="G209" s="6"/>
      <c r="H209" s="6"/>
      <c r="I209" s="6"/>
      <c r="J209" s="6"/>
      <c r="K209" s="18"/>
      <c r="L209" s="18"/>
      <c r="M209" s="6"/>
    </row>
    <row r="210" ht="12.75" customHeight="1">
      <c r="D210" s="38"/>
      <c r="E210" s="6"/>
      <c r="F210" s="6"/>
      <c r="G210" s="6"/>
      <c r="H210" s="6"/>
      <c r="I210" s="6"/>
      <c r="J210" s="6"/>
      <c r="K210" s="18"/>
      <c r="L210" s="18"/>
      <c r="M210" s="6"/>
    </row>
    <row r="211" ht="12.75" customHeight="1">
      <c r="D211" s="38"/>
      <c r="E211" s="6"/>
      <c r="F211" s="6"/>
      <c r="G211" s="6"/>
      <c r="H211" s="6"/>
      <c r="I211" s="6"/>
      <c r="J211" s="6"/>
      <c r="K211" s="18"/>
      <c r="L211" s="18"/>
      <c r="M211" s="6"/>
    </row>
    <row r="212" ht="12.75" customHeight="1">
      <c r="D212" s="38"/>
      <c r="E212" s="6"/>
      <c r="F212" s="6"/>
      <c r="G212" s="6"/>
      <c r="H212" s="6"/>
      <c r="I212" s="6"/>
      <c r="J212" s="6"/>
      <c r="K212" s="18"/>
      <c r="L212" s="18"/>
      <c r="M212" s="6"/>
    </row>
    <row r="213" ht="12.75" customHeight="1">
      <c r="D213" s="38"/>
      <c r="E213" s="6"/>
      <c r="F213" s="6"/>
      <c r="G213" s="6"/>
      <c r="H213" s="6"/>
      <c r="I213" s="6"/>
      <c r="J213" s="6"/>
      <c r="K213" s="18"/>
      <c r="L213" s="18"/>
      <c r="M213" s="6"/>
    </row>
    <row r="214" ht="12.75" customHeight="1">
      <c r="D214" s="38"/>
      <c r="E214" s="6"/>
      <c r="F214" s="6"/>
      <c r="G214" s="6"/>
      <c r="H214" s="6"/>
      <c r="I214" s="6"/>
      <c r="J214" s="6"/>
      <c r="K214" s="18"/>
      <c r="L214" s="18"/>
      <c r="M214" s="6"/>
    </row>
    <row r="215" ht="12.75" customHeight="1">
      <c r="D215" s="38"/>
      <c r="E215" s="6"/>
      <c r="F215" s="6"/>
      <c r="G215" s="6"/>
      <c r="H215" s="6"/>
      <c r="I215" s="6"/>
      <c r="J215" s="6"/>
      <c r="K215" s="18"/>
      <c r="L215" s="18"/>
      <c r="M215" s="6"/>
    </row>
    <row r="216" ht="12.75" customHeight="1">
      <c r="D216" s="38"/>
      <c r="E216" s="6"/>
      <c r="F216" s="6"/>
      <c r="G216" s="6"/>
      <c r="H216" s="6"/>
      <c r="I216" s="6"/>
      <c r="J216" s="6"/>
      <c r="K216" s="18"/>
      <c r="L216" s="18"/>
      <c r="M216" s="6"/>
    </row>
    <row r="217" ht="12.75" customHeight="1">
      <c r="D217" s="38"/>
      <c r="E217" s="6"/>
      <c r="F217" s="6"/>
      <c r="G217" s="6"/>
      <c r="H217" s="6"/>
      <c r="I217" s="6"/>
      <c r="J217" s="6"/>
      <c r="K217" s="18"/>
      <c r="L217" s="18"/>
      <c r="M217" s="6"/>
    </row>
    <row r="218" ht="12.75" customHeight="1">
      <c r="D218" s="38"/>
      <c r="E218" s="6"/>
      <c r="F218" s="6"/>
      <c r="G218" s="6"/>
      <c r="H218" s="6"/>
      <c r="I218" s="6"/>
      <c r="J218" s="6"/>
      <c r="K218" s="18"/>
      <c r="L218" s="18"/>
      <c r="M218" s="6"/>
    </row>
    <row r="219" ht="12.75" customHeight="1">
      <c r="D219" s="38"/>
      <c r="E219" s="6"/>
      <c r="F219" s="6"/>
      <c r="G219" s="6"/>
      <c r="H219" s="6"/>
      <c r="I219" s="6"/>
      <c r="J219" s="6"/>
      <c r="K219" s="18"/>
      <c r="L219" s="18"/>
      <c r="M219" s="6"/>
    </row>
    <row r="220" ht="12.75" customHeight="1">
      <c r="D220" s="38"/>
      <c r="E220" s="6"/>
      <c r="F220" s="6"/>
      <c r="G220" s="6"/>
      <c r="H220" s="6"/>
      <c r="I220" s="6"/>
      <c r="J220" s="6"/>
      <c r="K220" s="18"/>
      <c r="L220" s="18"/>
      <c r="M220" s="6"/>
    </row>
    <row r="221" ht="12.75" customHeight="1">
      <c r="D221" s="38"/>
      <c r="E221" s="6"/>
      <c r="F221" s="6"/>
      <c r="G221" s="6"/>
      <c r="H221" s="6"/>
      <c r="I221" s="6"/>
      <c r="J221" s="6"/>
      <c r="K221" s="18"/>
      <c r="L221" s="18"/>
      <c r="M221" s="6"/>
    </row>
    <row r="222" ht="12.75" customHeight="1">
      <c r="D222" s="38"/>
      <c r="E222" s="6"/>
      <c r="F222" s="6"/>
      <c r="G222" s="6"/>
      <c r="H222" s="6"/>
      <c r="I222" s="6"/>
      <c r="J222" s="6"/>
      <c r="K222" s="18"/>
      <c r="L222" s="18"/>
      <c r="M222" s="6"/>
    </row>
    <row r="223" ht="12.75" customHeight="1">
      <c r="D223" s="38"/>
      <c r="E223" s="6"/>
      <c r="F223" s="6"/>
      <c r="G223" s="6"/>
      <c r="H223" s="6"/>
      <c r="I223" s="6"/>
      <c r="J223" s="6"/>
      <c r="K223" s="18"/>
      <c r="L223" s="18"/>
      <c r="M223" s="6"/>
    </row>
    <row r="224" ht="12.75" customHeight="1">
      <c r="D224" s="38"/>
      <c r="E224" s="6"/>
      <c r="F224" s="6"/>
      <c r="G224" s="6"/>
      <c r="H224" s="6"/>
      <c r="I224" s="6"/>
      <c r="J224" s="6"/>
      <c r="K224" s="18"/>
      <c r="L224" s="18"/>
      <c r="M224" s="6"/>
    </row>
    <row r="225" ht="12.75" customHeight="1">
      <c r="D225" s="38"/>
      <c r="E225" s="6"/>
      <c r="F225" s="6"/>
      <c r="G225" s="6"/>
      <c r="H225" s="6"/>
      <c r="I225" s="6"/>
      <c r="J225" s="6"/>
      <c r="K225" s="18"/>
      <c r="L225" s="18"/>
      <c r="M225" s="6"/>
    </row>
    <row r="226" ht="12.75" customHeight="1">
      <c r="D226" s="38"/>
      <c r="E226" s="6"/>
      <c r="F226" s="6"/>
      <c r="G226" s="6"/>
      <c r="H226" s="6"/>
      <c r="I226" s="6"/>
      <c r="J226" s="6"/>
      <c r="K226" s="18"/>
      <c r="L226" s="18"/>
      <c r="M226" s="6"/>
    </row>
    <row r="227" ht="12.75" customHeight="1">
      <c r="D227" s="38"/>
      <c r="E227" s="6"/>
      <c r="F227" s="6"/>
      <c r="G227" s="6"/>
      <c r="H227" s="6"/>
      <c r="I227" s="6"/>
      <c r="J227" s="6"/>
      <c r="K227" s="18"/>
      <c r="L227" s="18"/>
      <c r="M227" s="6"/>
    </row>
    <row r="228" ht="12.75" customHeight="1">
      <c r="D228" s="38"/>
      <c r="E228" s="6"/>
      <c r="F228" s="6"/>
      <c r="G228" s="6"/>
      <c r="H228" s="6"/>
      <c r="I228" s="6"/>
      <c r="J228" s="6"/>
      <c r="K228" s="18"/>
      <c r="L228" s="18"/>
      <c r="M228" s="6"/>
    </row>
    <row r="229" ht="12.75" customHeight="1">
      <c r="D229" s="38"/>
      <c r="E229" s="6"/>
      <c r="F229" s="6"/>
      <c r="G229" s="6"/>
      <c r="H229" s="6"/>
      <c r="I229" s="6"/>
      <c r="J229" s="6"/>
      <c r="K229" s="18"/>
      <c r="L229" s="18"/>
      <c r="M229" s="6"/>
    </row>
    <row r="230" ht="12.75" customHeight="1">
      <c r="D230" s="38"/>
      <c r="E230" s="6"/>
      <c r="F230" s="6"/>
      <c r="G230" s="6"/>
      <c r="H230" s="6"/>
      <c r="I230" s="6"/>
      <c r="J230" s="6"/>
      <c r="K230" s="18"/>
      <c r="L230" s="18"/>
      <c r="M230" s="6"/>
    </row>
    <row r="231" ht="12.75" customHeight="1">
      <c r="D231" s="38"/>
      <c r="E231" s="6"/>
      <c r="F231" s="6"/>
      <c r="G231" s="6"/>
      <c r="H231" s="6"/>
      <c r="I231" s="6"/>
      <c r="J231" s="6"/>
      <c r="K231" s="18"/>
      <c r="L231" s="18"/>
      <c r="M231" s="6"/>
    </row>
    <row r="232" ht="12.75" customHeight="1">
      <c r="D232" s="38"/>
      <c r="E232" s="6"/>
      <c r="F232" s="6"/>
      <c r="G232" s="6"/>
      <c r="H232" s="6"/>
      <c r="I232" s="6"/>
      <c r="J232" s="6"/>
      <c r="K232" s="18"/>
      <c r="L232" s="18"/>
      <c r="M232" s="6"/>
    </row>
    <row r="233" ht="12.75" customHeight="1">
      <c r="D233" s="38"/>
      <c r="E233" s="6"/>
      <c r="F233" s="6"/>
      <c r="G233" s="6"/>
      <c r="H233" s="6"/>
      <c r="I233" s="6"/>
      <c r="J233" s="6"/>
      <c r="K233" s="18"/>
      <c r="L233" s="18"/>
      <c r="M233" s="6"/>
    </row>
    <row r="234" ht="12.75" customHeight="1">
      <c r="D234" s="38"/>
      <c r="E234" s="6"/>
      <c r="F234" s="6"/>
      <c r="G234" s="6"/>
      <c r="H234" s="6"/>
      <c r="I234" s="6"/>
      <c r="J234" s="6"/>
      <c r="K234" s="18"/>
      <c r="L234" s="18"/>
      <c r="M234" s="6"/>
    </row>
    <row r="235" ht="12.75" customHeight="1">
      <c r="D235" s="38"/>
      <c r="E235" s="6"/>
      <c r="F235" s="6"/>
      <c r="G235" s="6"/>
      <c r="H235" s="6"/>
      <c r="I235" s="6"/>
      <c r="J235" s="6"/>
      <c r="K235" s="18"/>
      <c r="L235" s="18"/>
      <c r="M235" s="6"/>
    </row>
    <row r="236" ht="12.75" customHeight="1">
      <c r="D236" s="38"/>
      <c r="E236" s="6"/>
      <c r="F236" s="6"/>
      <c r="G236" s="6"/>
      <c r="H236" s="6"/>
      <c r="I236" s="6"/>
      <c r="J236" s="6"/>
      <c r="K236" s="18"/>
      <c r="L236" s="18"/>
      <c r="M236" s="6"/>
    </row>
    <row r="237" ht="12.75" customHeight="1">
      <c r="D237" s="38"/>
      <c r="E237" s="6"/>
      <c r="F237" s="6"/>
      <c r="G237" s="6"/>
      <c r="H237" s="6"/>
      <c r="I237" s="6"/>
      <c r="J237" s="6"/>
      <c r="K237" s="18"/>
      <c r="L237" s="18"/>
      <c r="M237" s="6"/>
    </row>
    <row r="238" ht="12.75" customHeight="1">
      <c r="D238" s="38"/>
      <c r="E238" s="6"/>
      <c r="F238" s="6"/>
      <c r="G238" s="6"/>
      <c r="H238" s="6"/>
      <c r="I238" s="6"/>
      <c r="J238" s="6"/>
      <c r="K238" s="18"/>
      <c r="L238" s="18"/>
      <c r="M238" s="6"/>
    </row>
    <row r="239" ht="12.75" customHeight="1">
      <c r="D239" s="38"/>
      <c r="E239" s="6"/>
      <c r="F239" s="6"/>
      <c r="G239" s="6"/>
      <c r="H239" s="6"/>
      <c r="I239" s="6"/>
      <c r="J239" s="6"/>
      <c r="K239" s="18"/>
      <c r="L239" s="18"/>
      <c r="M239" s="6"/>
    </row>
    <row r="240" ht="12.75" customHeight="1">
      <c r="D240" s="38"/>
      <c r="E240" s="6"/>
      <c r="F240" s="6"/>
      <c r="G240" s="6"/>
      <c r="H240" s="6"/>
      <c r="I240" s="6"/>
      <c r="J240" s="6"/>
      <c r="K240" s="18"/>
      <c r="L240" s="18"/>
      <c r="M240" s="6"/>
    </row>
    <row r="241" ht="12.75" customHeight="1">
      <c r="D241" s="38"/>
      <c r="E241" s="6"/>
      <c r="F241" s="6"/>
      <c r="G241" s="6"/>
      <c r="H241" s="6"/>
      <c r="I241" s="6"/>
      <c r="J241" s="6"/>
      <c r="K241" s="18"/>
      <c r="L241" s="18"/>
      <c r="M241" s="6"/>
    </row>
    <row r="242" ht="12.75" customHeight="1">
      <c r="D242" s="38"/>
      <c r="E242" s="6"/>
      <c r="F242" s="6"/>
      <c r="G242" s="6"/>
      <c r="H242" s="6"/>
      <c r="I242" s="6"/>
      <c r="J242" s="6"/>
      <c r="K242" s="18"/>
      <c r="L242" s="18"/>
      <c r="M242" s="6"/>
    </row>
    <row r="243" ht="12.75" customHeight="1">
      <c r="D243" s="38"/>
      <c r="E243" s="6"/>
      <c r="F243" s="6"/>
      <c r="G243" s="6"/>
      <c r="H243" s="6"/>
      <c r="I243" s="6"/>
      <c r="J243" s="6"/>
      <c r="K243" s="18"/>
      <c r="L243" s="18"/>
      <c r="M243" s="6"/>
    </row>
    <row r="244" ht="12.75" customHeight="1">
      <c r="D244" s="38"/>
      <c r="E244" s="6"/>
      <c r="F244" s="6"/>
      <c r="G244" s="6"/>
      <c r="H244" s="6"/>
      <c r="I244" s="6"/>
      <c r="J244" s="6"/>
      <c r="K244" s="18"/>
      <c r="L244" s="18"/>
      <c r="M244" s="6"/>
    </row>
    <row r="245" ht="12.75" customHeight="1">
      <c r="D245" s="38"/>
      <c r="E245" s="6"/>
      <c r="F245" s="6"/>
      <c r="G245" s="6"/>
      <c r="H245" s="6"/>
      <c r="I245" s="6"/>
      <c r="J245" s="6"/>
      <c r="K245" s="18"/>
      <c r="L245" s="18"/>
      <c r="M245" s="6"/>
    </row>
    <row r="246" ht="12.75" customHeight="1">
      <c r="D246" s="38"/>
      <c r="E246" s="6"/>
      <c r="F246" s="6"/>
      <c r="G246" s="6"/>
      <c r="H246" s="6"/>
      <c r="I246" s="6"/>
      <c r="J246" s="6"/>
      <c r="K246" s="18"/>
      <c r="L246" s="18"/>
      <c r="M246" s="6"/>
    </row>
    <row r="247" ht="12.75" customHeight="1">
      <c r="D247" s="38"/>
      <c r="E247" s="6"/>
      <c r="F247" s="6"/>
      <c r="G247" s="6"/>
      <c r="H247" s="6"/>
      <c r="I247" s="6"/>
      <c r="J247" s="6"/>
      <c r="K247" s="18"/>
      <c r="L247" s="18"/>
      <c r="M247" s="6"/>
    </row>
    <row r="248" ht="12.75" customHeight="1">
      <c r="D248" s="38"/>
      <c r="E248" s="6"/>
      <c r="F248" s="6"/>
      <c r="G248" s="6"/>
      <c r="H248" s="6"/>
      <c r="I248" s="6"/>
      <c r="J248" s="6"/>
      <c r="K248" s="18"/>
      <c r="L248" s="18"/>
      <c r="M248" s="6"/>
    </row>
    <row r="249" ht="12.75" customHeight="1">
      <c r="D249" s="38"/>
      <c r="E249" s="6"/>
      <c r="F249" s="6"/>
      <c r="G249" s="6"/>
      <c r="H249" s="6"/>
      <c r="I249" s="6"/>
      <c r="J249" s="6"/>
      <c r="K249" s="18"/>
      <c r="L249" s="18"/>
      <c r="M249" s="6"/>
    </row>
    <row r="250" ht="12.75" customHeight="1">
      <c r="D250" s="38"/>
      <c r="E250" s="6"/>
      <c r="F250" s="6"/>
      <c r="G250" s="6"/>
      <c r="H250" s="6"/>
      <c r="I250" s="6"/>
      <c r="J250" s="6"/>
      <c r="K250" s="18"/>
      <c r="L250" s="18"/>
      <c r="M250" s="6"/>
    </row>
    <row r="251" ht="12.75" customHeight="1">
      <c r="D251" s="38"/>
      <c r="E251" s="6"/>
      <c r="F251" s="6"/>
      <c r="G251" s="6"/>
      <c r="H251" s="6"/>
      <c r="I251" s="6"/>
      <c r="J251" s="6"/>
      <c r="K251" s="18"/>
      <c r="L251" s="18"/>
      <c r="M251" s="6"/>
    </row>
    <row r="252" ht="12.75" customHeight="1">
      <c r="D252" s="38"/>
      <c r="E252" s="6"/>
      <c r="F252" s="6"/>
      <c r="G252" s="6"/>
      <c r="H252" s="6"/>
      <c r="I252" s="6"/>
      <c r="J252" s="6"/>
      <c r="K252" s="18"/>
      <c r="L252" s="18"/>
      <c r="M252" s="6"/>
    </row>
    <row r="253" ht="12.75" customHeight="1">
      <c r="D253" s="38"/>
      <c r="E253" s="6"/>
      <c r="F253" s="6"/>
      <c r="G253" s="6"/>
      <c r="H253" s="6"/>
      <c r="I253" s="6"/>
      <c r="J253" s="6"/>
      <c r="K253" s="18"/>
      <c r="L253" s="18"/>
      <c r="M253" s="6"/>
    </row>
    <row r="254" ht="12.75" customHeight="1">
      <c r="D254" s="38"/>
      <c r="E254" s="6"/>
      <c r="F254" s="6"/>
      <c r="G254" s="6"/>
      <c r="H254" s="6"/>
      <c r="I254" s="6"/>
      <c r="J254" s="6"/>
      <c r="K254" s="18"/>
      <c r="L254" s="18"/>
      <c r="M254" s="6"/>
    </row>
    <row r="255" ht="12.75" customHeight="1">
      <c r="D255" s="38"/>
      <c r="E255" s="6"/>
      <c r="F255" s="6"/>
      <c r="G255" s="6"/>
      <c r="H255" s="6"/>
      <c r="I255" s="6"/>
      <c r="J255" s="6"/>
      <c r="K255" s="18"/>
      <c r="L255" s="18"/>
      <c r="M255" s="6"/>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51:I51"/>
    <mergeCell ref="A52:I52"/>
    <mergeCell ref="A53:I53"/>
    <mergeCell ref="A54:I54"/>
    <mergeCell ref="A55:I55"/>
    <mergeCell ref="A1:I1"/>
    <mergeCell ref="A3:B3"/>
    <mergeCell ref="K7:K8"/>
    <mergeCell ref="L7:L8"/>
    <mergeCell ref="M7:M8"/>
    <mergeCell ref="N7:N8"/>
    <mergeCell ref="O7:O8"/>
  </mergeCells>
  <conditionalFormatting sqref="D43 D45 D47 D25 D31 D33 D35 D37 D39 D41 D27:D29 D19 D21:D23 D17 D9 D11 D13 D15">
    <cfRule type="cellIs" dxfId="0" priority="1" operator="equal">
      <formula>"Enter score"</formula>
    </cfRule>
  </conditionalFormatting>
  <dataValidations>
    <dataValidation type="list" allowBlank="1" showInputMessage="1" showErrorMessage="1" prompt="Invalid score entered - Score must be one of:&#10;&#10;Very poor&#10;Poor&#10;Moderate&#10;Good&#10;Excellent&#10;N/A" sqref="D9 D11 D13 D15 D17 D19 D21 D23 D25 D27 D29 D31 D33 D35 D37 D39 D41 D43 D45 D47">
      <formula1>'UX Case scores'!$Q$1:$Q$7</formula1>
    </dataValidation>
    <dataValidation type="list" allowBlank="1" showInputMessage="1" showErrorMessage="1" prompt="Invalid score entered - Score must be one of:&#10;&#10;Very poor&#10;Poor&#10;Moderate&#10;Good&#10;Excellent&#10;N/A" sqref="D22 D28">
      <formula1>'UX Case scores'!$Q$1:$Q$8</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29"/>
    <col customWidth="1" min="3" max="3" width="8.86"/>
    <col customWidth="1" min="4" max="4" width="5.43"/>
    <col customWidth="1" min="5" max="5" width="4.71"/>
    <col customWidth="1" min="6" max="6" width="5.71"/>
  </cols>
  <sheetData>
    <row r="1" ht="12.0" customHeight="1">
      <c r="A1" s="1" t="s">
        <v>0</v>
      </c>
      <c r="B1" s="1" t="s">
        <v>2</v>
      </c>
      <c r="C1" s="1" t="s">
        <v>3</v>
      </c>
    </row>
    <row r="2" ht="12.0" customHeight="1">
      <c r="A2" s="3">
        <v>0.0</v>
      </c>
      <c r="B2" s="5" t="str">
        <f>""</f>
        <v/>
      </c>
    </row>
    <row r="3" ht="12.0" customHeight="1">
      <c r="A3" s="3">
        <v>1.0</v>
      </c>
      <c r="B3" s="5" t="s">
        <v>4</v>
      </c>
      <c r="C3" s="7" t="s">
        <v>5</v>
      </c>
      <c r="D3" s="10">
        <f>A4</f>
        <v>29</v>
      </c>
    </row>
    <row r="4" ht="12.0" customHeight="1">
      <c r="A4" s="3">
        <v>29.0</v>
      </c>
      <c r="B4" s="12" t="s">
        <v>7</v>
      </c>
      <c r="C4" s="12" t="s">
        <v>8</v>
      </c>
      <c r="D4" s="10">
        <f t="shared" ref="D4:D7" si="1">A4</f>
        <v>29</v>
      </c>
      <c r="E4" s="15" t="s">
        <v>9</v>
      </c>
      <c r="F4" s="10">
        <f t="shared" ref="F4:F6" si="2">A5</f>
        <v>49</v>
      </c>
    </row>
    <row r="5" ht="12.0" customHeight="1">
      <c r="A5" s="3">
        <v>49.0</v>
      </c>
      <c r="B5" s="12" t="s">
        <v>10</v>
      </c>
      <c r="C5" s="12" t="s">
        <v>8</v>
      </c>
      <c r="D5" s="10">
        <f t="shared" si="1"/>
        <v>49</v>
      </c>
      <c r="E5" s="15" t="s">
        <v>9</v>
      </c>
      <c r="F5" s="10">
        <f t="shared" si="2"/>
        <v>69</v>
      </c>
    </row>
    <row r="6" ht="12.0" customHeight="1">
      <c r="A6" s="3">
        <v>69.0</v>
      </c>
      <c r="B6" s="12" t="s">
        <v>11</v>
      </c>
      <c r="C6" s="12" t="s">
        <v>8</v>
      </c>
      <c r="D6" s="10">
        <f t="shared" si="1"/>
        <v>69</v>
      </c>
      <c r="E6" s="15" t="s">
        <v>9</v>
      </c>
      <c r="F6" s="10">
        <f t="shared" si="2"/>
        <v>89</v>
      </c>
    </row>
    <row r="7" ht="12.0" customHeight="1">
      <c r="A7" s="3">
        <v>89.0</v>
      </c>
      <c r="B7" s="12" t="s">
        <v>12</v>
      </c>
      <c r="C7" s="7" t="s">
        <v>13</v>
      </c>
      <c r="D7" s="10">
        <f t="shared" si="1"/>
        <v>89</v>
      </c>
    </row>
    <row r="8" ht="12.0" customHeight="1">
      <c r="A8" s="12"/>
      <c r="B8" s="12"/>
    </row>
    <row r="9" ht="12.0" customHeight="1">
      <c r="A9" s="12"/>
      <c r="B9" s="12"/>
    </row>
    <row r="10" ht="12.0" customHeight="1">
      <c r="A10" s="12"/>
      <c r="B10" s="12"/>
    </row>
    <row r="11" ht="12.0" customHeight="1">
      <c r="A11" s="12"/>
      <c r="B11" s="12"/>
    </row>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rintOptions/>
  <pageMargins bottom="0.75" footer="0.0" header="0.0" left="0.7" right="0.7" top="0.75"/>
  <pageSetup orientation="landscape"/>
  <drawing r:id="rId1"/>
</worksheet>
</file>